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DataPrivilege Secured Datasets\Decision Making Project\NEW FOLDER STRUCTURE\Data Analysis\Ad-hoc Analysis\AI Analysis February 2025\01Data\Mid-2026 Update\"/>
    </mc:Choice>
  </mc:AlternateContent>
  <xr:revisionPtr revIDLastSave="0" documentId="14_{3B8F39A3-48C7-419F-A09D-D308B0F45288}" xr6:coauthVersionLast="47" xr6:coauthVersionMax="47" xr10:uidLastSave="{00000000-0000-0000-0000-000000000000}"/>
  <bookViews>
    <workbookView xWindow="2280" yWindow="2280" windowWidth="28800" windowHeight="15370" activeTab="3" xr2:uid="{129D1F6A-585E-4A63-A51D-1089D4C382FF}"/>
  </bookViews>
  <sheets>
    <sheet name="Contents" sheetId="10" r:id="rId1"/>
    <sheet name="AI Use Now" sheetId="2" r:id="rId2"/>
    <sheet name="AI Freq" sheetId="3" r:id="rId3"/>
    <sheet name="AI Emp Past 3y" sheetId="4" r:id="rId4"/>
    <sheet name="AI Emp Next 3y" sheetId="5" r:id="rId5"/>
    <sheet name="AI Prod Past 3y" sheetId="6" r:id="rId6"/>
    <sheet name="AI Prod Next 3y" sheetId="7" r:id="rId7"/>
    <sheet name="AI Use 3y"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8" l="1"/>
  <c r="F26" i="8"/>
  <c r="F27" i="8"/>
  <c r="F28" i="8"/>
  <c r="F29" i="8"/>
  <c r="F30" i="8"/>
  <c r="F31" i="8"/>
  <c r="F24" i="8"/>
  <c r="C33" i="8"/>
  <c r="D33" i="8"/>
  <c r="E33" i="8"/>
  <c r="B33" i="8"/>
  <c r="F25" i="2"/>
  <c r="F26" i="2"/>
  <c r="F27" i="2"/>
  <c r="F28" i="2"/>
  <c r="F29" i="2"/>
  <c r="F30" i="2"/>
  <c r="F31" i="2"/>
  <c r="F24" i="2"/>
  <c r="C33" i="2"/>
  <c r="D33" i="2"/>
  <c r="E33" i="2"/>
  <c r="B33" i="2"/>
  <c r="F25" i="7"/>
  <c r="F26" i="7"/>
  <c r="F27" i="7"/>
  <c r="F28" i="7"/>
  <c r="F24" i="7"/>
  <c r="C30" i="7"/>
  <c r="D30" i="7"/>
  <c r="E30" i="7"/>
  <c r="B30" i="7"/>
  <c r="F25" i="6"/>
  <c r="F26" i="6"/>
  <c r="F27" i="6"/>
  <c r="F28" i="6"/>
  <c r="F24" i="6"/>
  <c r="C30" i="6"/>
  <c r="D30" i="6"/>
  <c r="F30" i="6" s="1"/>
  <c r="E30" i="6"/>
  <c r="B30" i="6"/>
  <c r="F29" i="5"/>
  <c r="F25" i="5"/>
  <c r="F26" i="5"/>
  <c r="F27" i="5"/>
  <c r="F28" i="5"/>
  <c r="F24" i="5"/>
  <c r="C30" i="5"/>
  <c r="D30" i="5"/>
  <c r="E30" i="5"/>
  <c r="B30" i="5"/>
  <c r="F25" i="4"/>
  <c r="F26" i="4"/>
  <c r="F27" i="4"/>
  <c r="F28" i="4"/>
  <c r="F24" i="4"/>
  <c r="C30" i="4"/>
  <c r="D30" i="4"/>
  <c r="E30" i="4"/>
  <c r="F30" i="4" s="1"/>
  <c r="B30" i="4"/>
  <c r="E32" i="7"/>
  <c r="D32" i="7"/>
  <c r="C32" i="7"/>
  <c r="F32" i="7" s="1"/>
  <c r="B32" i="7"/>
  <c r="F29" i="7"/>
  <c r="E32" i="6"/>
  <c r="D32" i="6"/>
  <c r="C32" i="6"/>
  <c r="B32" i="6"/>
  <c r="F29" i="6"/>
  <c r="E32" i="5"/>
  <c r="D32" i="5"/>
  <c r="C32" i="5"/>
  <c r="B32" i="5"/>
  <c r="F32" i="5" s="1"/>
  <c r="F30" i="5"/>
  <c r="E32" i="4"/>
  <c r="D32" i="4"/>
  <c r="C32" i="4"/>
  <c r="B32" i="4"/>
  <c r="F29" i="4"/>
  <c r="C29" i="3"/>
  <c r="D29" i="3"/>
  <c r="E29" i="3"/>
  <c r="B29" i="3"/>
  <c r="F25" i="3" s="1"/>
  <c r="E31" i="3"/>
  <c r="D31" i="3"/>
  <c r="C31" i="3"/>
  <c r="B31" i="3"/>
  <c r="F28" i="3"/>
  <c r="F32" i="8"/>
  <c r="F32" i="2"/>
  <c r="F30" i="7" l="1"/>
  <c r="F32" i="6"/>
  <c r="F32" i="4"/>
  <c r="F27" i="3"/>
  <c r="F26" i="3"/>
  <c r="F29" i="3"/>
  <c r="F24" i="3"/>
  <c r="F31" i="3"/>
  <c r="I12" i="7"/>
  <c r="C12" i="7"/>
  <c r="D12" i="7"/>
  <c r="E12" i="7"/>
  <c r="F12" i="7"/>
  <c r="G12" i="7"/>
  <c r="H12" i="7"/>
  <c r="B12" i="7"/>
  <c r="I5" i="7"/>
  <c r="I6" i="7"/>
  <c r="I7" i="7"/>
  <c r="I8" i="7"/>
  <c r="I4" i="7"/>
  <c r="I10" i="7"/>
  <c r="C10" i="7"/>
  <c r="D10" i="7"/>
  <c r="E10" i="7"/>
  <c r="F10" i="7"/>
  <c r="G10" i="7"/>
  <c r="H10" i="7"/>
  <c r="B10" i="7"/>
  <c r="I9" i="7"/>
  <c r="I12" i="5"/>
  <c r="C12" i="5"/>
  <c r="D12" i="5"/>
  <c r="E12" i="5"/>
  <c r="F12" i="5"/>
  <c r="G12" i="5"/>
  <c r="H12" i="5"/>
  <c r="B12" i="5"/>
  <c r="I5" i="5"/>
  <c r="I6" i="5"/>
  <c r="I7" i="5"/>
  <c r="I8" i="5"/>
  <c r="I4" i="5"/>
  <c r="I10" i="5"/>
  <c r="C10" i="5"/>
  <c r="D10" i="5"/>
  <c r="E10" i="5"/>
  <c r="F10" i="5"/>
  <c r="G10" i="5"/>
  <c r="H10" i="5"/>
  <c r="B10" i="5"/>
  <c r="I9" i="5"/>
  <c r="I12" i="6"/>
  <c r="C12" i="6"/>
  <c r="D12" i="6"/>
  <c r="E12" i="6"/>
  <c r="F12" i="6"/>
  <c r="G12" i="6"/>
  <c r="H12" i="6"/>
  <c r="B12" i="6"/>
  <c r="I5" i="6"/>
  <c r="I6" i="6"/>
  <c r="I7" i="6"/>
  <c r="I8" i="6"/>
  <c r="I4" i="6"/>
  <c r="I10" i="6"/>
  <c r="C10" i="6"/>
  <c r="D10" i="6"/>
  <c r="E10" i="6"/>
  <c r="F10" i="6"/>
  <c r="G10" i="6"/>
  <c r="H10" i="6"/>
  <c r="B10" i="6"/>
  <c r="I9" i="6"/>
  <c r="I12" i="4"/>
  <c r="I5" i="4"/>
  <c r="I6" i="4"/>
  <c r="I7" i="4"/>
  <c r="I8" i="4"/>
  <c r="I4" i="4"/>
  <c r="C12" i="4"/>
  <c r="D12" i="4"/>
  <c r="E12" i="4"/>
  <c r="F12" i="4"/>
  <c r="G12" i="4"/>
  <c r="H12" i="4"/>
  <c r="B12" i="4"/>
  <c r="I10" i="4"/>
  <c r="C10" i="4"/>
  <c r="D10" i="4"/>
  <c r="E10" i="4"/>
  <c r="F10" i="4"/>
  <c r="G10" i="4"/>
  <c r="H10" i="4"/>
  <c r="B10" i="4"/>
  <c r="I9" i="4"/>
  <c r="C11" i="3"/>
  <c r="D11" i="3"/>
  <c r="E11" i="3"/>
  <c r="F11" i="3"/>
  <c r="G11" i="3"/>
  <c r="H11" i="3"/>
  <c r="B11" i="3"/>
  <c r="C9" i="3"/>
  <c r="I9" i="3" s="1"/>
  <c r="D9" i="3"/>
  <c r="E9" i="3"/>
  <c r="F9" i="3"/>
  <c r="G9" i="3"/>
  <c r="H9" i="3"/>
  <c r="B9" i="3"/>
  <c r="I8" i="3"/>
  <c r="C12" i="8"/>
  <c r="D12" i="8"/>
  <c r="E12" i="8"/>
  <c r="F12" i="8"/>
  <c r="G12" i="8"/>
  <c r="H12" i="8"/>
  <c r="B12" i="8"/>
  <c r="I8" i="8" s="1"/>
  <c r="I11" i="8"/>
  <c r="C12" i="2"/>
  <c r="D12" i="2"/>
  <c r="E12" i="2"/>
  <c r="F12" i="2"/>
  <c r="G12" i="2"/>
  <c r="H12" i="2"/>
  <c r="B12" i="2"/>
  <c r="I12" i="2" s="1"/>
  <c r="I11" i="2"/>
  <c r="I4" i="2" l="1"/>
  <c r="I5" i="3"/>
  <c r="I11" i="3"/>
  <c r="I6" i="3"/>
  <c r="I4" i="3"/>
  <c r="I7" i="3"/>
  <c r="I7" i="8"/>
  <c r="I6" i="8"/>
  <c r="I4" i="8"/>
  <c r="I9" i="8"/>
  <c r="I5" i="8"/>
  <c r="I10" i="8"/>
  <c r="I12" i="8"/>
  <c r="I10" i="2"/>
  <c r="I8" i="2"/>
  <c r="I7" i="2"/>
  <c r="I6" i="2"/>
  <c r="I9" i="2"/>
  <c r="I5" i="2"/>
  <c r="F33" i="8" l="1"/>
  <c r="F33" i="2"/>
</calcChain>
</file>

<file path=xl/sharedStrings.xml><?xml version="1.0" encoding="utf-8"?>
<sst xmlns="http://schemas.openxmlformats.org/spreadsheetml/2006/main" count="275" uniqueCount="72">
  <si>
    <t>Other</t>
  </si>
  <si>
    <t>Data processing using ML</t>
  </si>
  <si>
    <t>Visual content creation</t>
  </si>
  <si>
    <t>Text generation using LLMs</t>
  </si>
  <si>
    <t>Image processing using ML</t>
  </si>
  <si>
    <t>Any AI Technology</t>
  </si>
  <si>
    <t>Number of Survey Responses</t>
  </si>
  <si>
    <t>Share of Total Survey Responses</t>
  </si>
  <si>
    <t>UK Decision Maker Panel</t>
  </si>
  <si>
    <t>US Survey of Business Uncertainty</t>
  </si>
  <si>
    <t>Australia Business Outlook Scenarios Survey</t>
  </si>
  <si>
    <t>Germany Bundesbank Online Panel - Firms</t>
  </si>
  <si>
    <t>All Firms</t>
  </si>
  <si>
    <t>Not at all</t>
  </si>
  <si>
    <t>Up to 1 hour a week</t>
  </si>
  <si>
    <t>1 to 5 hours a week</t>
  </si>
  <si>
    <t>&gt;5 hours a week</t>
  </si>
  <si>
    <t>Average use per week (hours):</t>
  </si>
  <si>
    <t>No impact</t>
  </si>
  <si>
    <t>Large negative impact, reducing employment by &gt;5%</t>
  </si>
  <si>
    <t>Small negative impact, reducing employment by  &lt;5%</t>
  </si>
  <si>
    <t>Cumulative impact over past 3 years (%)</t>
  </si>
  <si>
    <t>Cumulative impact over next 3 years (%)</t>
  </si>
  <si>
    <t>Large negative impact, reducing productivity by &gt;5%</t>
  </si>
  <si>
    <t>Small negative impact, reducing productivity by  &lt;5%</t>
  </si>
  <si>
    <t>AI Technologies Currently Used (% of respondents)</t>
  </si>
  <si>
    <t>Frequency of AI use by survey respondent (% of respondents, average use)</t>
  </si>
  <si>
    <t>Impact of AI on employment over past 3 years (% of respondents, cumulative impact)</t>
  </si>
  <si>
    <t>Impact of AI on employment over next 3 years (% of respondents, cumulative impact)</t>
  </si>
  <si>
    <t>Impact of AI on productivity over past 3 years (% of respondents, cumulative impact)</t>
  </si>
  <si>
    <t>Impact of AI on productivity over next 3 years (% of respondents, cumulative impact)</t>
  </si>
  <si>
    <t>AI Technologies Expected to be Used over next 3 years (% of respondents)</t>
  </si>
  <si>
    <t>Table of Contents</t>
  </si>
  <si>
    <t>Tab</t>
  </si>
  <si>
    <t>Description</t>
  </si>
  <si>
    <t>Mexico Monthly Survey on Regional Economic Activity (EMAER)</t>
  </si>
  <si>
    <t>Canada Business Leaders' Pulse (BLP)</t>
  </si>
  <si>
    <t>South Africa Quarterly inflation expectations survey</t>
  </si>
  <si>
    <t>Generative AI</t>
  </si>
  <si>
    <t>Robotics and autonomous vehicles</t>
  </si>
  <si>
    <r>
      <rPr>
        <b/>
        <i/>
        <sz val="10"/>
        <color theme="1"/>
        <rFont val="Arial"/>
        <family val="2"/>
      </rPr>
      <t>Citation:</t>
    </r>
    <r>
      <rPr>
        <i/>
        <sz val="10"/>
        <color theme="1"/>
        <rFont val="Arial"/>
        <family val="2"/>
      </rPr>
      <t xml:space="preserve"> "Firm Data on AI" by Ivan Yotzov, Jose Maria Barrero, Nicholas Bloom, Philip Bunn, Chanya Chawla, Steven J. Davis, Kevin Foster, Aaron Jalca, Brent Meyer, Paul Mizen, Michael A. Navarrete, Samil Oh, Katia Garcia Loredo, Monique Reid, Pawel Smietanka, Gregory Thwaites, Ben Zhe Wang, October 2026</t>
    </r>
  </si>
  <si>
    <r>
      <rPr>
        <b/>
        <sz val="11"/>
        <color theme="1"/>
        <rFont val="Arial"/>
        <family val="2"/>
      </rPr>
      <t>Last Updated:</t>
    </r>
    <r>
      <rPr>
        <sz val="11"/>
        <color theme="1"/>
        <rFont val="Arial"/>
        <family val="2"/>
      </rPr>
      <t xml:space="preserve"> 6 October 2026</t>
    </r>
  </si>
  <si>
    <r>
      <rPr>
        <b/>
        <sz val="11"/>
        <color theme="1"/>
        <rFont val="Arial"/>
        <family val="2"/>
      </rPr>
      <t>Summary Data for Paper:</t>
    </r>
    <r>
      <rPr>
        <sz val="11"/>
        <color theme="1"/>
        <rFont val="Arial"/>
        <family val="2"/>
      </rPr>
      <t xml:space="preserve"> "Firm Data on AI" by Ivan Yotzov, Jose Maria Barrero, Nicholas Bloom, Philip Bunn, Chanya Chawla, Steven J. Davis, Kevin Foster, Aaron Jalca, Brent Meyer, Paul Mizen, Michael A. Navarrete, Samil Oh, Katia Garcia Loredo, Monique Reid, Pawel Smietanka, Gregory Thwaites, Ben Zhe Wang, October 2026</t>
    </r>
  </si>
  <si>
    <r>
      <t xml:space="preserve">Citation: </t>
    </r>
    <r>
      <rPr>
        <i/>
        <sz val="9"/>
        <color theme="1"/>
        <rFont val="Arial"/>
        <family val="2"/>
      </rPr>
      <t>"Firm Data on AI" by Ivan Yotzov, Jose Maria Barrero, Nicholas Bloom, Philip Bunn, Chanya Chawla, Steven J. Davis, Kevin Foster, Aaron Jalca, Brent Meyer, Paul Mizen, Michael A. Navarrete, Samil Oh, Katia Garcia Loredo, Monique Reid, Pawel Smietanka, Gregory Thwaites, Ben Zhe Wang, October 2026</t>
    </r>
  </si>
  <si>
    <t>Robotics</t>
  </si>
  <si>
    <t>Autonomous vehicles</t>
  </si>
  <si>
    <r>
      <t>Notes</t>
    </r>
    <r>
      <rPr>
        <i/>
        <sz val="10"/>
        <color rgb="FF000000"/>
        <rFont val="Arial"/>
        <family val="2"/>
      </rPr>
      <t xml:space="preserve">: This table is based on responses to the question: “Which of the following artificial intelligence technologies, if any, does your business currently use?” Firms could select more than one option. The data from the US Survey of Business Uncertainty was collected in November 2025. The data from the UK Decision Maker Panel was collected over November 2025 – January 2026. The data from the German Bundesbank Online Panel-Firms (BOP-F) was collected in January 2026. The data from the Australian Business Outlook Scenarios Survey was collected in December 2025. The results from the SBU, DMP, and BOP-F are employment-weighted; the results from the BOSS are unweighted. </t>
    </r>
  </si>
  <si>
    <t>November 2025 - January 2026 Data</t>
  </si>
  <si>
    <r>
      <t>Notes</t>
    </r>
    <r>
      <rPr>
        <i/>
        <sz val="10"/>
        <color rgb="FF000000"/>
        <rFont val="Arial"/>
        <family val="2"/>
      </rPr>
      <t xml:space="preserve">: This table is based on responses to the question: “Which of the following artificial intelligence technologies, if any, does your business currently use? And which do you intend to make use of over the next three years?” Firms could select more than one option. The data from the US Survey of Business Uncertainty was collected in November 2025. The data from the UK Decision Maker Panel was collected over November 2025 – January 2026. The data from the German Bundesbank Online Panel – Firms (BOP-F) were collected in January 2026. The data from the Australian Business Outlook Scenarios Survey was collected in December 2025. The results from the SBU, DMP, and BOP-F are employment-weighted; the results from the BOSS are unweighted. </t>
    </r>
  </si>
  <si>
    <r>
      <t>Notes</t>
    </r>
    <r>
      <rPr>
        <i/>
        <sz val="10"/>
        <color rgb="FF000000"/>
        <rFont val="Arial"/>
        <family val="2"/>
      </rPr>
      <t xml:space="preserve">: This table is based on responses to the question: “On average, how frequently do you personally use artificial intelligence technologies in a typical working week?” The data from the US Survey of Business Uncertainty was collected in November 2025. The data from the UK Decision Maker Panel was collected over November 2025 – January 2026. The data from the Australian Business Outlook Scenarios Survey was collected in December 2025. The data from the German Bundesbank Online Panel – Firms (BOP-F) were collected in January 2026. The results from the SBU, DMP, and BOP-F are employment-weighted; the results from the BOSS are unweighted. </t>
    </r>
  </si>
  <si>
    <r>
      <t>Notes</t>
    </r>
    <r>
      <rPr>
        <i/>
        <sz val="10"/>
        <color rgb="FF000000"/>
        <rFont val="Arial"/>
        <family val="2"/>
      </rPr>
      <t xml:space="preserve">: This table is based on responses to the question: “How has the adoption of artificial intelligence technologies affected the number of employees in your business over he past three years?” The data from the US Survey of Business Uncertainty was collected in November 2025. The data from the UK Decision Maker Panel was collected over November 2025 – January 2026. The data from the German Bundesbank Online Panel-Firms (BOP-F) was collected in January 2026.  The data from the Australian Business Outlook Scenarios Survey was collected in December 2025. The results from the SBU, DMP, and BOP-F are employment-weighted; the results from the BOSS are unweighted.  </t>
    </r>
  </si>
  <si>
    <r>
      <t>Notes</t>
    </r>
    <r>
      <rPr>
        <i/>
        <sz val="10"/>
        <color rgb="FF000000"/>
        <rFont val="Arial"/>
        <family val="2"/>
      </rPr>
      <t xml:space="preserve">: This table is based on responses to the question: “How has the adoption of artificial intelligence technologies affected the number of employees in your business over he past three years? And how do you expect this to affect your number of employees over the next 3 years?” The data from the US Survey of Business Uncertainty was collected in November 2025. The data from the UK Decision Maker Panel was collected over November 2025 – January 2026. The data from the German Bundesbank Online Panel-Firms (BOP-F) was collected in January 2026. The data from the Australian Business Outlook Scenarios Survey was collected in December 2025. The results from the SBU, DMP, and BOP-F are employment-weighted; the results from the BOSS are unweighted. </t>
    </r>
  </si>
  <si>
    <r>
      <t>Notes</t>
    </r>
    <r>
      <rPr>
        <i/>
        <sz val="10"/>
        <color rgb="FF000000"/>
        <rFont val="Arial"/>
        <family val="2"/>
      </rPr>
      <t xml:space="preserve">: This table is based on responses to the question: “How has the adoption of artificial intelligence technologies affected the volume of sales per employee in your business over he past three years?” The data from the US Survey of Business Uncertainty was collected in November 2025. The data from the UK Decision Maker Panel was collected over November 2025 – January 2026. The data from the German Bundesbank Online Panel-Firms (BOP-F) was collected in January 2026. The data from the Australian Business Outlook Scenarios Survey was collected in December 2025. The results from the SBU, DMP, and BOP-F are employment-weighted; the results from the BOSS are unweighted. </t>
    </r>
  </si>
  <si>
    <r>
      <t>Notes</t>
    </r>
    <r>
      <rPr>
        <i/>
        <sz val="10"/>
        <color rgb="FF000000"/>
        <rFont val="Arial"/>
        <family val="2"/>
      </rPr>
      <t xml:space="preserve">: This table is based on responses to the question: “How has the adoption of artificial intelligence technologies affected volume of sales per employee in your business over he past three years? And how do you expect this to affect your volume of sales per employee over the next 3 years?” The data from the US Survey of Business Uncertainty was collected in November 2025. The data from the UK Decision Maker Panel was collected over November 2025 – January 2026. The data from the German Bundesbank Online Panel-Firms (BOP-F) was collected in January 2026. The data from the Australian Business Outlook Scenarios Survey was collected in December 2025. The results from the SBU, DMP, and BOP-F are employment-weighted; the results from the BOSS are unweighted. </t>
    </r>
  </si>
  <si>
    <t>AI Use Now</t>
  </si>
  <si>
    <t>AI Freq</t>
  </si>
  <si>
    <t>AI Emp Past 3y</t>
  </si>
  <si>
    <t>AI Emp Next 3y</t>
  </si>
  <si>
    <t>AI Prod Past 3y</t>
  </si>
  <si>
    <t>AI Prod Next 3y</t>
  </si>
  <si>
    <t>AI Use 3y</t>
  </si>
  <si>
    <r>
      <t>Notes</t>
    </r>
    <r>
      <rPr>
        <i/>
        <sz val="10"/>
        <color rgb="FF000000"/>
        <rFont val="Arial"/>
        <family val="2"/>
      </rPr>
      <t>: This table is based on responses to the question: “Which of the following artificial intelligence technologies, if any, does your business currently use?” Firms could select more than one option. The data from the US Survey of Business Uncertainty was collected in June 2026. The data from the UK Decision Maker Panel was collected over May-July 2026. The data from the German Bundesbank Online Panel – Firms (BOP-F) were collected in July 2026. The data from the Australian Business Outlook Scenarios Survey was collected in June 2026. The data from the Canadian Business Leaders' Pulse was collected over May-June 2026. The data from the Mexican Monthly Survey on Regional Economic Activity was collected in June 2026. The data from the South African Quarterly inflation expectations survey was collected in May 2026. The results from the SBU, DMP, and BOP-F, and EMAER are employment-weighted; the results from the BOSS, BLP, and South African quarterly inflation expectations survey are equal-weighted.</t>
    </r>
  </si>
  <si>
    <r>
      <t>Notes</t>
    </r>
    <r>
      <rPr>
        <i/>
        <sz val="10"/>
        <color rgb="FF000000"/>
        <rFont val="Arial"/>
        <family val="2"/>
      </rPr>
      <t>: This table is based on responses to the question: “On average, how frequently do you personally use artificial intelligence technologies in a typical working week?” The data from the US Survey of Business Uncertainty was collected in June 2026. The data from the UK Decision Maker Panel was collected over May-July 2026. The data from the German Bundesbank Online Panel – Firms (BOP-F) were collected in July 2026. The data from the Australian Business Outlook Scenarios Survey was collected in June 2026. The data from the Canadian Business Leaders' Pulse was collected over May-June 2026. The data from the Mexican Monthly Survey on Regional Economic Activity was collected in June 2026. The data from the South African Quarterly inflation expectations survey was collected in May 2026. The results from the SBU, DMP, and BOP-F, and EMAER are employment-weighted; the results from the BOSS, BLP, and South African quarterly inflation expectations survey are equal-weighted.</t>
    </r>
  </si>
  <si>
    <r>
      <t>Notes</t>
    </r>
    <r>
      <rPr>
        <i/>
        <sz val="10"/>
        <color rgb="FF000000"/>
        <rFont val="Arial"/>
        <family val="2"/>
      </rPr>
      <t>: This table is based on responses to the question: “How has the adoption of artificial intelligence technologies affected the number of employees in your business over he past three years?” The data from the US Survey of Business Uncertainty was collected in June 2026. The data from the UK Decision Maker Panel was collected over May-July 2026. The data from the German Bundesbank Online Panel – Firms (BOP-F) were collected in January 2026. The data from the Australian Business Outlook Scenarios Survey was collected in June 2026. The data from the Canadian Business Leaders' Pulse was collected over May-June 2026. The data from the Mexican Monthly Survey on Regional Economic Activity was collected in June 2026. The data from the South African Quarterly inflation expectations survey was collected in May 2026. The results from the SBU, DMP, and BOP-F, and EMAER are employment-weighted; the results from the BOSS, BLP, and South African quarterly inflation expectations survey are equal-weighted.</t>
    </r>
  </si>
  <si>
    <r>
      <t>Notes</t>
    </r>
    <r>
      <rPr>
        <i/>
        <sz val="10"/>
        <color rgb="FF000000"/>
        <rFont val="Arial"/>
        <family val="2"/>
      </rPr>
      <t>: This table is based on responses to the question: “How has the adoption of artificial intelligence technologies affected the number of employees in your business over he past three years? And how do you expect this to affect your number of employees over the next 3 years?” The data from the US Survey of Business Uncertainty was collected in June 2026. The data from the UK Decision Maker Panel was collected over May-July 2026. The data from the German Bundesbank Online Panel – Firms (BOP-F) were collected in January 2026. The data from the Australian Business Outlook Scenarios Survey was collected in June 2026. The data from the Canadian Business Leaders' Pulse was collected over May-June 2026. The data from the Mexican Monthly Survey on Regional Economic Activity was collected in June 2026. The data from the South African Quarterly inflation expectations survey was collected in May 2026. The results from the SBU, DMP, and BOP-F, and EMAER are employment-weighted; the results from the BOSS, BLP, and South African quarterly inflation expectations survey are equal-weighted.</t>
    </r>
  </si>
  <si>
    <r>
      <t>Notes</t>
    </r>
    <r>
      <rPr>
        <i/>
        <sz val="10"/>
        <color rgb="FF000000"/>
        <rFont val="Arial"/>
        <family val="2"/>
      </rPr>
      <t>: This table is based on responses to the question: “How has the adoption of artificial intelligence technologies affected the volume of sales per employee in your business over he past three years?” The data from the US Survey of Business Uncertainty was collected in June 2026. The data from the UK Decision Maker Panel was collected over May-July 2026. The data from the German Bundesbank Online Panel – Firms (BOP-F) were collected in January 2026. The data from the Australian Business Outlook Scenarios Survey was collected in June 2026. The data from the Canadian Business Leaders' Pulse was collected over May-June 2026. The data from the Mexican Monthly Survey on Regional Economic Activity was collected in June 2026. The data from the South African Quarterly inflation expectations survey was collected in May 2026. The results from the SBU, DMP, and BOP-F, and EMAER are employment-weighted; the results from the BOSS, BLP, and South African quarterly inflation expectations survey are equal-weighted.</t>
    </r>
  </si>
  <si>
    <r>
      <t>Notes</t>
    </r>
    <r>
      <rPr>
        <i/>
        <sz val="10"/>
        <color rgb="FF000000"/>
        <rFont val="Arial"/>
        <family val="2"/>
      </rPr>
      <t>: This table is based on responses to the question: “How has the adoption of artificial intelligence technologies affected volume of sales per employee in your business over he past three years? And how do you expect this to affect your volume of sales per employee over the next 3 years?” The data from the US Survey of Business Uncertainty was collected in June 2026. The data from the UK Decision Maker Panel was collected over May-July 2026. The data from the German Bundesbank Online Panel – Firms (BOP-F) were collected in January 2026. The data from the Australian Business Outlook Scenarios Survey was collected in June 2026. The data from the Canadian Business Leaders' Pulse was collected over May-June 2026. The data from the Mexican Monthly Survey on Regional Economic Activity was collected in June 2026. The data from the South African Quarterly inflation expectations survey was collected in May 2026. The results from the SBU, DMP, and BOP-F, and EMAER are employment-weighted; the results from the BOSS, BLP, and South African quarterly inflation expectations survey are equal-weighted.</t>
    </r>
  </si>
  <si>
    <r>
      <t>Notes</t>
    </r>
    <r>
      <rPr>
        <i/>
        <sz val="10"/>
        <color rgb="FF000000"/>
        <rFont val="Arial"/>
        <family val="2"/>
      </rPr>
      <t>: This table is based on responses to the question: “Which of the following artificial intelligence technologies, if any, does your business currently use? And which do you intend to make use of over the next three years?” Firms could select more than one option. The data from the US Survey of Business Uncertainty was collected in June 2026. The data from the UK Decision Maker Panel was collected over May-July 2026. The data from the German Bundesbank Online Panel – Firms (BOP-F) were collected in July 2026. The data from the Australian Business Outlook Scenarios Survey was collected in June 2026. The data from the Canadian Business Leaders' Pulse was collected over May-June 2026. The data from the Mexican Monthly Survey on Regional Economic Activity was collected in June 2026. The data from the South African Quarterly inflation expectations survey was collected in May 2026. The results from the SBU, DMP, and BOP-F, and EMAER are employment-weighted; the results from the BOSS, BLP, and South African quarterly inflation expectations survey are equal-weighted.</t>
    </r>
  </si>
  <si>
    <t>Small positive impact, increasing employment by &lt;5%</t>
  </si>
  <si>
    <t>Large positive impact, increasing employment by &gt;5%</t>
  </si>
  <si>
    <t>Small positive impact, increasing productivity by &lt;5%</t>
  </si>
  <si>
    <t>Large positive impact, increasing productivity by &gt;5%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</si>
</sst>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Aptos Narrow"/>
      <family val="2"/>
      <scheme val="minor"/>
    </font>
    <font>
      <b/>
      <sz val="11"/>
      <color theme="1"/>
      <name val="Arial"/>
      <family val="2"/>
    </font>
    <font>
      <sz val="11"/>
      <color theme="1"/>
      <name val="Arial"/>
      <family val="2"/>
    </font>
    <font>
      <b/>
      <sz val="12"/>
      <color theme="1"/>
      <name val="Arial"/>
      <family val="2"/>
    </font>
    <font>
      <b/>
      <i/>
      <sz val="11"/>
      <color theme="1"/>
      <name val="Arial"/>
      <family val="2"/>
    </font>
    <font>
      <i/>
      <sz val="11"/>
      <color theme="1"/>
      <name val="Arial"/>
      <family val="2"/>
    </font>
    <font>
      <b/>
      <i/>
      <sz val="10"/>
      <color rgb="FF000000"/>
      <name val="Arial"/>
      <family val="2"/>
    </font>
    <font>
      <i/>
      <sz val="10"/>
      <color rgb="FF000000"/>
      <name val="Arial"/>
      <family val="2"/>
    </font>
    <font>
      <i/>
      <sz val="10"/>
      <color theme="1"/>
      <name val="Arial"/>
      <family val="2"/>
    </font>
    <font>
      <b/>
      <i/>
      <sz val="10"/>
      <color theme="1"/>
      <name val="Arial"/>
      <family val="2"/>
    </font>
    <font>
      <i/>
      <sz val="9"/>
      <color theme="1"/>
      <name val="Arial"/>
      <family val="2"/>
    </font>
    <font>
      <b/>
      <i/>
      <sz val="9"/>
      <color theme="1"/>
      <name val="Arial"/>
      <family val="2"/>
    </font>
    <font>
      <u/>
      <sz val="11"/>
      <color theme="10"/>
      <name val="Aptos Narrow"/>
      <family val="2"/>
      <scheme val="minor"/>
    </font>
    <font>
      <u/>
      <sz val="11"/>
      <color theme="10"/>
      <name val="Arial"/>
      <family val="2"/>
    </font>
    <font>
      <b/>
      <sz val="14"/>
      <color theme="1"/>
      <name val="Arial"/>
      <family val="2"/>
    </font>
    <font>
      <sz val="11"/>
      <color rgb="FFFF0000"/>
      <name val="Arial"/>
      <family val="2"/>
    </font>
    <font>
      <sz val="11"/>
      <name val="Arial"/>
      <family val="2"/>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8">
    <border>
      <left/>
      <right/>
      <top/>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2">
    <xf numFmtId="0" fontId="0" fillId="0" borderId="0"/>
    <xf numFmtId="0" fontId="12" fillId="0" borderId="0" applyNumberFormat="0" applyFill="0" applyBorder="0" applyAlignment="0" applyProtection="0"/>
  </cellStyleXfs>
  <cellXfs count="40">
    <xf numFmtId="0" fontId="0" fillId="0" borderId="0" xfId="0"/>
    <xf numFmtId="0" fontId="2" fillId="0" borderId="0" xfId="0" applyFont="1"/>
    <xf numFmtId="0" fontId="1" fillId="2" borderId="3" xfId="0" applyFont="1" applyFill="1" applyBorder="1" applyAlignment="1">
      <alignment horizontal="center" vertical="center"/>
    </xf>
    <xf numFmtId="1" fontId="2" fillId="2" borderId="4" xfId="0" applyNumberFormat="1" applyFont="1" applyFill="1" applyBorder="1"/>
    <xf numFmtId="1" fontId="2" fillId="2" borderId="2" xfId="0" applyNumberFormat="1" applyFont="1" applyFill="1" applyBorder="1"/>
    <xf numFmtId="0" fontId="2" fillId="2" borderId="4" xfId="0" applyFont="1" applyFill="1" applyBorder="1"/>
    <xf numFmtId="164" fontId="5" fillId="2" borderId="4" xfId="0" applyNumberFormat="1" applyFont="1" applyFill="1" applyBorder="1"/>
    <xf numFmtId="2" fontId="5" fillId="2" borderId="4" xfId="0" applyNumberFormat="1" applyFont="1" applyFill="1" applyBorder="1"/>
    <xf numFmtId="0" fontId="2" fillId="3" borderId="0" xfId="0" applyFont="1" applyFill="1"/>
    <xf numFmtId="0" fontId="3" fillId="3" borderId="0" xfId="0" applyFont="1" applyFill="1"/>
    <xf numFmtId="0" fontId="1" fillId="3" borderId="3" xfId="0" applyFont="1" applyFill="1" applyBorder="1"/>
    <xf numFmtId="0" fontId="1" fillId="3" borderId="1" xfId="0" applyFont="1" applyFill="1" applyBorder="1" applyAlignment="1">
      <alignment horizontal="center" vertical="center" wrapText="1"/>
    </xf>
    <xf numFmtId="0" fontId="2" fillId="3" borderId="4" xfId="0" applyFont="1" applyFill="1" applyBorder="1"/>
    <xf numFmtId="1" fontId="2" fillId="3" borderId="0" xfId="0" applyNumberFormat="1" applyFont="1" applyFill="1"/>
    <xf numFmtId="0" fontId="1" fillId="3" borderId="4" xfId="0" applyFont="1" applyFill="1" applyBorder="1"/>
    <xf numFmtId="2" fontId="2" fillId="3" borderId="0" xfId="0" applyNumberFormat="1" applyFont="1" applyFill="1"/>
    <xf numFmtId="0" fontId="6" fillId="3" borderId="0" xfId="0" applyFont="1" applyFill="1"/>
    <xf numFmtId="0" fontId="4" fillId="3" borderId="4" xfId="0" applyFont="1" applyFill="1" applyBorder="1"/>
    <xf numFmtId="0" fontId="6" fillId="3" borderId="0" xfId="0" applyFont="1" applyFill="1" applyAlignment="1">
      <alignment horizontal="left" vertical="center" readingOrder="1"/>
    </xf>
    <xf numFmtId="1" fontId="2" fillId="3" borderId="5" xfId="0" applyNumberFormat="1" applyFont="1" applyFill="1" applyBorder="1"/>
    <xf numFmtId="1" fontId="2" fillId="3" borderId="6" xfId="0" applyNumberFormat="1" applyFont="1" applyFill="1" applyBorder="1"/>
    <xf numFmtId="0" fontId="1" fillId="3" borderId="0" xfId="0" applyFont="1" applyFill="1"/>
    <xf numFmtId="0" fontId="2" fillId="3" borderId="6" xfId="0" applyFont="1" applyFill="1" applyBorder="1"/>
    <xf numFmtId="2" fontId="2" fillId="3" borderId="6" xfId="0" applyNumberFormat="1" applyFont="1" applyFill="1" applyBorder="1"/>
    <xf numFmtId="0" fontId="4" fillId="3" borderId="0" xfId="0" applyFont="1" applyFill="1"/>
    <xf numFmtId="2" fontId="5" fillId="3" borderId="6" xfId="0" applyNumberFormat="1" applyFont="1" applyFill="1" applyBorder="1"/>
    <xf numFmtId="2" fontId="5" fillId="3" borderId="0" xfId="0" applyNumberFormat="1" applyFont="1" applyFill="1"/>
    <xf numFmtId="0" fontId="8" fillId="3" borderId="0" xfId="0" applyFont="1" applyFill="1"/>
    <xf numFmtId="0" fontId="0" fillId="3" borderId="0" xfId="0" applyFill="1"/>
    <xf numFmtId="0" fontId="14" fillId="0" borderId="0" xfId="0" applyFont="1"/>
    <xf numFmtId="0" fontId="1" fillId="0" borderId="7" xfId="0" applyFont="1" applyBorder="1"/>
    <xf numFmtId="0" fontId="13" fillId="0" borderId="0" xfId="1" applyFont="1" applyFill="1"/>
    <xf numFmtId="0" fontId="13" fillId="0" borderId="0" xfId="1" applyFont="1"/>
    <xf numFmtId="3" fontId="2" fillId="3" borderId="0" xfId="0" applyNumberFormat="1" applyFont="1" applyFill="1"/>
    <xf numFmtId="164" fontId="2" fillId="0" borderId="0" xfId="0" applyNumberFormat="1" applyFont="1"/>
    <xf numFmtId="0" fontId="11" fillId="3" borderId="0" xfId="0" applyFont="1" applyFill="1"/>
    <xf numFmtId="0" fontId="15" fillId="3" borderId="0" xfId="0" applyFont="1" applyFill="1"/>
    <xf numFmtId="0" fontId="13" fillId="3" borderId="0" xfId="1" applyFont="1" applyFill="1"/>
    <xf numFmtId="164" fontId="5" fillId="3" borderId="0" xfId="0" applyNumberFormat="1" applyFont="1" applyFill="1"/>
    <xf numFmtId="1" fontId="16" fillId="3"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A5CA0-3D4A-4D6B-8BFE-208B17132016}">
  <sheetPr>
    <tabColor rgb="FF00B0F0"/>
  </sheetPr>
  <dimension ref="A1:B15"/>
  <sheetViews>
    <sheetView workbookViewId="0">
      <selection activeCell="B19" sqref="B19"/>
    </sheetView>
  </sheetViews>
  <sheetFormatPr defaultRowHeight="14.5" x14ac:dyDescent="0.35"/>
  <cols>
    <col min="1" max="1" width="17" customWidth="1"/>
    <col min="2" max="2" width="123.7265625" bestFit="1" customWidth="1"/>
  </cols>
  <sheetData>
    <row r="1" spans="1:2" ht="18" x14ac:dyDescent="0.4">
      <c r="A1" s="29" t="s">
        <v>32</v>
      </c>
    </row>
    <row r="2" spans="1:2" ht="18" x14ac:dyDescent="0.4">
      <c r="A2" s="29"/>
    </row>
    <row r="3" spans="1:2" x14ac:dyDescent="0.35">
      <c r="A3" s="1" t="s">
        <v>42</v>
      </c>
    </row>
    <row r="4" spans="1:2" x14ac:dyDescent="0.35">
      <c r="A4" s="1" t="s">
        <v>41</v>
      </c>
    </row>
    <row r="7" spans="1:2" ht="21" customHeight="1" x14ac:dyDescent="0.35">
      <c r="A7" s="30" t="s">
        <v>33</v>
      </c>
      <c r="B7" s="30" t="s">
        <v>34</v>
      </c>
    </row>
    <row r="8" spans="1:2" ht="21" customHeight="1" x14ac:dyDescent="0.35">
      <c r="A8" s="31" t="s">
        <v>54</v>
      </c>
      <c r="B8" s="1" t="s">
        <v>25</v>
      </c>
    </row>
    <row r="9" spans="1:2" ht="21" customHeight="1" x14ac:dyDescent="0.35">
      <c r="A9" s="31" t="s">
        <v>55</v>
      </c>
      <c r="B9" s="1" t="s">
        <v>26</v>
      </c>
    </row>
    <row r="10" spans="1:2" ht="21" customHeight="1" x14ac:dyDescent="0.35">
      <c r="A10" s="31" t="s">
        <v>56</v>
      </c>
      <c r="B10" s="1" t="s">
        <v>27</v>
      </c>
    </row>
    <row r="11" spans="1:2" ht="21" customHeight="1" x14ac:dyDescent="0.35">
      <c r="A11" s="31" t="s">
        <v>57</v>
      </c>
      <c r="B11" s="1" t="s">
        <v>28</v>
      </c>
    </row>
    <row r="12" spans="1:2" ht="21" customHeight="1" x14ac:dyDescent="0.35">
      <c r="A12" s="31" t="s">
        <v>58</v>
      </c>
      <c r="B12" s="1" t="s">
        <v>29</v>
      </c>
    </row>
    <row r="13" spans="1:2" ht="21" customHeight="1" x14ac:dyDescent="0.35">
      <c r="A13" s="31" t="s">
        <v>59</v>
      </c>
      <c r="B13" s="1" t="s">
        <v>30</v>
      </c>
    </row>
    <row r="14" spans="1:2" ht="21" customHeight="1" x14ac:dyDescent="0.35">
      <c r="A14" s="31" t="s">
        <v>60</v>
      </c>
      <c r="B14" s="1" t="s">
        <v>31</v>
      </c>
    </row>
    <row r="15" spans="1:2" x14ac:dyDescent="0.35">
      <c r="A15" s="1"/>
    </row>
  </sheetData>
  <hyperlinks>
    <hyperlink ref="A8" location="'AI Use Now'!A1" display="AI Use Now" xr:uid="{073D175B-DBB0-48D9-A040-B2279D203BA1}"/>
    <hyperlink ref="A9" location="'AI Freq'!A1" display="AI Freq" xr:uid="{054CDB82-8C20-4901-92F6-B8CD06E4DE57}"/>
    <hyperlink ref="A10" location="'AI Emp Past 3y'!A1" display="AI Emp Past 3y" xr:uid="{F3C70B57-5678-4F3C-8E58-99D9A9E4481D}"/>
    <hyperlink ref="A11" location="'AI Emp Next 3y'!A1" display="AI Emp Next 3y" xr:uid="{EDBA3CEB-FE51-4931-B7D6-407EA5C5467A}"/>
    <hyperlink ref="A12" location="'AI Prod Past 3y'!A1" display="AI Prod Past 3y" xr:uid="{5B235201-835E-4538-BF5D-2017BD89E770}"/>
    <hyperlink ref="A13" location="'AI Prod Next 3y'!A1" display="AI Prod Next 3y" xr:uid="{BFBA975C-B253-4770-9120-18389C49322D}"/>
    <hyperlink ref="A14" location="'AI Use 3y'!A1" display="AI Use 3y" xr:uid="{C112DFBA-AEAE-48F3-8ED9-26D8CF7CB6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41887-2373-4740-A9F9-9A22B1FE9538}">
  <sheetPr>
    <tabColor rgb="FF00B050"/>
  </sheetPr>
  <dimension ref="A1:K37"/>
  <sheetViews>
    <sheetView workbookViewId="0">
      <selection activeCell="A8" sqref="A8"/>
    </sheetView>
  </sheetViews>
  <sheetFormatPr defaultRowHeight="14.5" x14ac:dyDescent="0.35"/>
  <cols>
    <col min="1" max="1" width="37.26953125" customWidth="1"/>
    <col min="2" max="2" width="17.7265625" customWidth="1"/>
    <col min="3" max="3" width="18.26953125" customWidth="1"/>
    <col min="4" max="4" width="22.7265625" customWidth="1"/>
    <col min="5" max="6" width="22" customWidth="1"/>
    <col min="7" max="7" width="23.54296875" customWidth="1"/>
    <col min="8" max="8" width="23" customWidth="1"/>
    <col min="9" max="9" width="14.7265625" customWidth="1"/>
  </cols>
  <sheetData>
    <row r="1" spans="1:11" x14ac:dyDescent="0.35">
      <c r="A1" s="28"/>
      <c r="B1" s="28"/>
      <c r="C1" s="28"/>
      <c r="D1" s="28"/>
      <c r="E1" s="28"/>
      <c r="F1" s="28"/>
      <c r="G1" s="28"/>
      <c r="H1" s="28"/>
      <c r="I1" s="28"/>
      <c r="J1" s="28"/>
      <c r="K1" s="28"/>
    </row>
    <row r="2" spans="1:11" ht="15.5" x14ac:dyDescent="0.35">
      <c r="A2" s="9" t="s">
        <v>25</v>
      </c>
      <c r="B2" s="8"/>
      <c r="C2" s="8"/>
      <c r="D2" s="8"/>
      <c r="E2" s="8"/>
      <c r="F2" s="8"/>
      <c r="G2" s="8"/>
      <c r="H2" s="8"/>
      <c r="I2" s="8"/>
      <c r="J2" s="8"/>
      <c r="K2" s="28"/>
    </row>
    <row r="3" spans="1:11" ht="42" x14ac:dyDescent="0.35">
      <c r="A3" s="10"/>
      <c r="B3" s="11" t="s">
        <v>8</v>
      </c>
      <c r="C3" s="11" t="s">
        <v>9</v>
      </c>
      <c r="D3" s="11" t="s">
        <v>10</v>
      </c>
      <c r="E3" s="11" t="s">
        <v>11</v>
      </c>
      <c r="F3" s="11" t="s">
        <v>36</v>
      </c>
      <c r="G3" s="11" t="s">
        <v>35</v>
      </c>
      <c r="H3" s="11" t="s">
        <v>37</v>
      </c>
      <c r="I3" s="2" t="s">
        <v>12</v>
      </c>
      <c r="J3" s="8"/>
      <c r="K3" s="28"/>
    </row>
    <row r="4" spans="1:11" x14ac:dyDescent="0.35">
      <c r="A4" s="12" t="s">
        <v>5</v>
      </c>
      <c r="B4" s="13">
        <v>87.94905</v>
      </c>
      <c r="C4" s="13">
        <v>94.9</v>
      </c>
      <c r="D4" s="13">
        <v>68.392099999999999</v>
      </c>
      <c r="E4" s="33">
        <v>77.858919999999998</v>
      </c>
      <c r="F4" s="33">
        <v>81.900000000000006</v>
      </c>
      <c r="G4" s="33">
        <v>63.7</v>
      </c>
      <c r="H4" s="33">
        <v>56.44</v>
      </c>
      <c r="I4" s="3">
        <f>B4*$B$12+C4*$C$12+D4*$D$12+E4*$E$12+F4*$F$12+G4*$G$12+H4*$H$12</f>
        <v>78.477012474377744</v>
      </c>
      <c r="J4" s="8"/>
      <c r="K4" s="28"/>
    </row>
    <row r="5" spans="1:11" x14ac:dyDescent="0.35">
      <c r="A5" s="12" t="s">
        <v>0</v>
      </c>
      <c r="B5" s="13">
        <v>23.109200000000001</v>
      </c>
      <c r="C5" s="13">
        <v>36.299999999999997</v>
      </c>
      <c r="D5" s="13">
        <v>19.823799999999999</v>
      </c>
      <c r="E5" s="33">
        <v>18.637709999999998</v>
      </c>
      <c r="F5" s="33">
        <v>12.3</v>
      </c>
      <c r="G5" s="33">
        <v>8.4</v>
      </c>
      <c r="H5" s="33">
        <v>23.76</v>
      </c>
      <c r="I5" s="3">
        <f t="shared" ref="I5:I10" si="0">B5*$B$12+C5*$C$12+D5*$D$12+E5*$E$12+F5*$F$12+G5*$G$12+H5*$H$12</f>
        <v>19.214966249577653</v>
      </c>
      <c r="J5" s="8"/>
      <c r="K5" s="28"/>
    </row>
    <row r="6" spans="1:11" x14ac:dyDescent="0.35">
      <c r="A6" s="12" t="s">
        <v>1</v>
      </c>
      <c r="B6" s="13">
        <v>42.004829999999998</v>
      </c>
      <c r="C6" s="13">
        <v>46.6</v>
      </c>
      <c r="D6" s="13">
        <v>28.1938</v>
      </c>
      <c r="E6" s="33">
        <v>22.736270000000001</v>
      </c>
      <c r="F6" s="33">
        <v>21</v>
      </c>
      <c r="G6" s="33">
        <v>36.1</v>
      </c>
      <c r="H6" s="33">
        <v>23.76</v>
      </c>
      <c r="I6" s="3">
        <f t="shared" si="0"/>
        <v>32.704803055524273</v>
      </c>
      <c r="J6" s="8"/>
      <c r="K6" s="28"/>
    </row>
    <row r="7" spans="1:11" x14ac:dyDescent="0.35">
      <c r="A7" s="12" t="s">
        <v>2</v>
      </c>
      <c r="B7" s="13">
        <v>43.195709999999998</v>
      </c>
      <c r="C7" s="13">
        <v>42.5</v>
      </c>
      <c r="D7" s="13">
        <v>24.5595</v>
      </c>
      <c r="E7" s="33">
        <v>32.673310000000001</v>
      </c>
      <c r="F7" s="33">
        <v>22.5</v>
      </c>
      <c r="G7" s="33">
        <v>33.6</v>
      </c>
      <c r="H7" s="33">
        <v>27.72</v>
      </c>
      <c r="I7" s="3">
        <f t="shared" si="0"/>
        <v>34.415041487780151</v>
      </c>
      <c r="J7" s="8"/>
      <c r="K7" s="28"/>
    </row>
    <row r="8" spans="1:11" x14ac:dyDescent="0.35">
      <c r="A8" s="12" t="s">
        <v>38</v>
      </c>
      <c r="B8" s="13">
        <v>82.103660000000005</v>
      </c>
      <c r="C8" s="13">
        <v>87.7</v>
      </c>
      <c r="D8" s="13">
        <v>38.215899999999998</v>
      </c>
      <c r="E8" s="33">
        <v>69.734380000000002</v>
      </c>
      <c r="F8" s="33">
        <v>73.900000000000006</v>
      </c>
      <c r="G8" s="33">
        <v>26.7</v>
      </c>
      <c r="H8" s="33">
        <v>29.7</v>
      </c>
      <c r="I8" s="3">
        <f t="shared" si="0"/>
        <v>62.917006710215112</v>
      </c>
      <c r="J8" s="8"/>
      <c r="K8" s="28"/>
    </row>
    <row r="9" spans="1:11" x14ac:dyDescent="0.35">
      <c r="A9" s="12" t="s">
        <v>4</v>
      </c>
      <c r="B9" s="13">
        <v>32.075409999999998</v>
      </c>
      <c r="C9" s="13">
        <v>33.200000000000003</v>
      </c>
      <c r="D9" s="13">
        <v>17.070499999999999</v>
      </c>
      <c r="E9" s="33">
        <v>17.178820000000002</v>
      </c>
      <c r="F9" s="33">
        <v>10</v>
      </c>
      <c r="G9" s="33">
        <v>21.6</v>
      </c>
      <c r="H9" s="33">
        <v>11.88</v>
      </c>
      <c r="I9" s="3">
        <f t="shared" si="0"/>
        <v>22.379504640162178</v>
      </c>
      <c r="J9" s="8"/>
      <c r="K9" s="28"/>
    </row>
    <row r="10" spans="1:11" x14ac:dyDescent="0.35">
      <c r="A10" s="12" t="s">
        <v>39</v>
      </c>
      <c r="B10" s="13">
        <v>10.424300000000001</v>
      </c>
      <c r="C10" s="13">
        <v>11</v>
      </c>
      <c r="D10" s="13">
        <v>6.9382999999999999</v>
      </c>
      <c r="E10" s="33">
        <v>4.1609400000000001</v>
      </c>
      <c r="F10" s="33">
        <v>3.7</v>
      </c>
      <c r="G10" s="33">
        <v>13.4</v>
      </c>
      <c r="H10" s="33">
        <v>8.91</v>
      </c>
      <c r="I10" s="3">
        <f t="shared" si="0"/>
        <v>8.4073495235950002</v>
      </c>
      <c r="J10" s="8"/>
      <c r="K10" s="28"/>
    </row>
    <row r="11" spans="1:11" x14ac:dyDescent="0.35">
      <c r="A11" s="14" t="s">
        <v>6</v>
      </c>
      <c r="B11" s="13">
        <v>1964</v>
      </c>
      <c r="C11" s="13">
        <v>1012</v>
      </c>
      <c r="D11" s="13">
        <v>908</v>
      </c>
      <c r="E11" s="13">
        <v>2303</v>
      </c>
      <c r="F11" s="13">
        <v>872</v>
      </c>
      <c r="G11" s="13">
        <v>1719</v>
      </c>
      <c r="H11" s="13">
        <v>101</v>
      </c>
      <c r="I11" s="3">
        <f>SUM(B11:H11)</f>
        <v>8879</v>
      </c>
      <c r="J11" s="8"/>
      <c r="K11" s="28"/>
    </row>
    <row r="12" spans="1:11" x14ac:dyDescent="0.35">
      <c r="A12" s="14" t="s">
        <v>7</v>
      </c>
      <c r="B12" s="15">
        <f>B11/SUM($B$11:$H$11)</f>
        <v>0.22119608063971169</v>
      </c>
      <c r="C12" s="15">
        <f t="shared" ref="C12:H12" si="1">C11/SUM($B$11:$H$11)</f>
        <v>0.11397679918909787</v>
      </c>
      <c r="D12" s="15">
        <f t="shared" si="1"/>
        <v>0.10226376844239216</v>
      </c>
      <c r="E12" s="15">
        <f t="shared" si="1"/>
        <v>0.25937605586214663</v>
      </c>
      <c r="F12" s="15">
        <f t="shared" si="1"/>
        <v>9.8209257799301716E-2</v>
      </c>
      <c r="G12" s="15">
        <f t="shared" si="1"/>
        <v>0.19360288320756841</v>
      </c>
      <c r="H12" s="15">
        <f t="shared" si="1"/>
        <v>1.1375154859781507E-2</v>
      </c>
      <c r="I12" s="3">
        <f>SUM(B12:H12)</f>
        <v>0.99999999999999989</v>
      </c>
      <c r="J12" s="8"/>
      <c r="K12" s="28"/>
    </row>
    <row r="13" spans="1:11" x14ac:dyDescent="0.35">
      <c r="A13" s="8"/>
      <c r="B13" s="8"/>
      <c r="C13" s="8"/>
      <c r="D13" s="8"/>
      <c r="E13" s="8"/>
      <c r="F13" s="8"/>
      <c r="G13" s="8"/>
      <c r="H13" s="8"/>
      <c r="I13" s="8"/>
      <c r="J13" s="8"/>
      <c r="K13" s="28"/>
    </row>
    <row r="14" spans="1:11" x14ac:dyDescent="0.35">
      <c r="A14" s="16" t="s">
        <v>61</v>
      </c>
      <c r="B14" s="8"/>
      <c r="C14" s="8"/>
      <c r="D14" s="8"/>
      <c r="E14" s="8"/>
      <c r="F14" s="8"/>
      <c r="G14" s="8"/>
      <c r="H14" s="8"/>
      <c r="I14" s="8"/>
      <c r="J14" s="8"/>
      <c r="K14" s="28"/>
    </row>
    <row r="15" spans="1:11" x14ac:dyDescent="0.35">
      <c r="A15" s="27" t="s">
        <v>40</v>
      </c>
      <c r="B15" s="28"/>
      <c r="C15" s="28"/>
      <c r="D15" s="28"/>
      <c r="E15" s="28"/>
      <c r="F15" s="28"/>
      <c r="G15" s="28"/>
      <c r="H15" s="28"/>
      <c r="I15" s="28"/>
      <c r="J15" s="28"/>
      <c r="K15" s="28"/>
    </row>
    <row r="16" spans="1:11" x14ac:dyDescent="0.35">
      <c r="A16" s="28"/>
      <c r="B16" s="28"/>
      <c r="C16" s="28"/>
      <c r="D16" s="28"/>
      <c r="E16" s="28"/>
      <c r="F16" s="28"/>
      <c r="G16" s="28"/>
      <c r="H16" s="28"/>
      <c r="I16" s="28"/>
      <c r="J16" s="28"/>
      <c r="K16" s="28"/>
    </row>
    <row r="17" spans="1:11" x14ac:dyDescent="0.35">
      <c r="A17" s="32" t="s">
        <v>32</v>
      </c>
      <c r="B17" s="28"/>
      <c r="C17" s="28"/>
      <c r="D17" s="28"/>
      <c r="E17" s="28"/>
      <c r="F17" s="28"/>
      <c r="G17" s="28"/>
      <c r="H17" s="28"/>
      <c r="I17" s="28"/>
      <c r="J17" s="28"/>
      <c r="K17" s="28"/>
    </row>
    <row r="18" spans="1:11" x14ac:dyDescent="0.35">
      <c r="A18" s="28"/>
      <c r="B18" s="28"/>
      <c r="C18" s="28"/>
      <c r="D18" s="28"/>
      <c r="E18" s="28"/>
      <c r="F18" s="28"/>
      <c r="G18" s="28"/>
      <c r="H18" s="28"/>
      <c r="I18" s="28"/>
      <c r="J18" s="28"/>
      <c r="K18" s="28"/>
    </row>
    <row r="19" spans="1:11" x14ac:dyDescent="0.35">
      <c r="A19" s="28"/>
      <c r="B19" s="28"/>
      <c r="C19" s="28"/>
      <c r="D19" s="28"/>
      <c r="E19" s="28"/>
      <c r="F19" s="28"/>
      <c r="G19" s="28"/>
      <c r="H19" s="28"/>
      <c r="I19" s="28"/>
      <c r="J19" s="28"/>
      <c r="K19" s="28"/>
    </row>
    <row r="20" spans="1:11" x14ac:dyDescent="0.35">
      <c r="A20" s="28"/>
      <c r="B20" s="28"/>
      <c r="C20" s="28"/>
      <c r="D20" s="28"/>
      <c r="E20" s="28"/>
      <c r="F20" s="28"/>
      <c r="G20" s="28"/>
      <c r="H20" s="28"/>
      <c r="I20" s="28"/>
      <c r="J20" s="28"/>
      <c r="K20" s="28"/>
    </row>
    <row r="21" spans="1:11" x14ac:dyDescent="0.35">
      <c r="A21" s="36" t="s">
        <v>47</v>
      </c>
      <c r="B21" s="28"/>
      <c r="C21" s="28"/>
      <c r="D21" s="28"/>
      <c r="E21" s="28"/>
      <c r="F21" s="28"/>
      <c r="G21" s="28"/>
      <c r="H21" s="28"/>
      <c r="I21" s="28"/>
      <c r="J21" s="28"/>
      <c r="K21" s="28"/>
    </row>
    <row r="22" spans="1:11" ht="15.5" x14ac:dyDescent="0.35">
      <c r="A22" s="9" t="s">
        <v>25</v>
      </c>
      <c r="B22" s="8"/>
      <c r="C22" s="8"/>
      <c r="D22" s="8"/>
      <c r="E22" s="8"/>
      <c r="F22" s="8"/>
      <c r="G22" s="28"/>
      <c r="H22" s="28"/>
      <c r="I22" s="28"/>
      <c r="J22" s="28"/>
      <c r="K22" s="28"/>
    </row>
    <row r="23" spans="1:11" ht="42" x14ac:dyDescent="0.35">
      <c r="A23" s="10"/>
      <c r="B23" s="11" t="s">
        <v>8</v>
      </c>
      <c r="C23" s="11" t="s">
        <v>9</v>
      </c>
      <c r="D23" s="11" t="s">
        <v>10</v>
      </c>
      <c r="E23" s="11" t="s">
        <v>11</v>
      </c>
      <c r="F23" s="2" t="s">
        <v>12</v>
      </c>
      <c r="G23" s="28"/>
      <c r="H23" s="28"/>
      <c r="I23" s="28"/>
      <c r="J23" s="28"/>
      <c r="K23" s="28"/>
    </row>
    <row r="24" spans="1:11" x14ac:dyDescent="0.35">
      <c r="A24" s="12" t="s">
        <v>5</v>
      </c>
      <c r="B24" s="13">
        <v>71.253870000000006</v>
      </c>
      <c r="C24" s="39">
        <v>93.5</v>
      </c>
      <c r="D24" s="13">
        <v>59.302325581395401</v>
      </c>
      <c r="E24" s="33">
        <v>64.666749999999993</v>
      </c>
      <c r="F24" s="3">
        <f>B24*$B$33+C24*$C$33+D24*$D$33+E24*$E$33</f>
        <v>70.543735484666911</v>
      </c>
      <c r="G24" s="28"/>
      <c r="H24" s="28"/>
      <c r="I24" s="28"/>
      <c r="J24" s="28"/>
      <c r="K24" s="28"/>
    </row>
    <row r="25" spans="1:11" x14ac:dyDescent="0.35">
      <c r="A25" s="12" t="s">
        <v>0</v>
      </c>
      <c r="B25" s="13">
        <v>35.019390000000001</v>
      </c>
      <c r="C25" s="39">
        <v>41</v>
      </c>
      <c r="D25" s="13">
        <v>12.790697674418601</v>
      </c>
      <c r="E25" s="33">
        <v>19.77835</v>
      </c>
      <c r="F25" s="3">
        <f t="shared" ref="F25:F31" si="2">B25*$B$33+C25*$C$33+D25*$D$33+E25*$E$33</f>
        <v>27.393449379626368</v>
      </c>
      <c r="G25" s="28"/>
      <c r="H25" s="28"/>
      <c r="I25" s="28"/>
      <c r="J25" s="28"/>
      <c r="K25" s="28"/>
    </row>
    <row r="26" spans="1:11" x14ac:dyDescent="0.35">
      <c r="A26" s="12" t="s">
        <v>1</v>
      </c>
      <c r="B26" s="13">
        <v>33.21537</v>
      </c>
      <c r="C26" s="39">
        <v>44.9</v>
      </c>
      <c r="D26" s="13">
        <v>22.093023255814</v>
      </c>
      <c r="E26" s="33">
        <v>21.27957</v>
      </c>
      <c r="F26" s="3">
        <f t="shared" si="2"/>
        <v>28.919437500881219</v>
      </c>
      <c r="G26" s="28"/>
      <c r="H26" s="28"/>
      <c r="I26" s="28"/>
      <c r="J26" s="28"/>
      <c r="K26" s="28"/>
    </row>
    <row r="27" spans="1:11" x14ac:dyDescent="0.35">
      <c r="A27" s="12" t="s">
        <v>2</v>
      </c>
      <c r="B27" s="13">
        <v>29.011780000000002</v>
      </c>
      <c r="C27" s="39">
        <v>39.5</v>
      </c>
      <c r="D27" s="13">
        <v>20.099667774086399</v>
      </c>
      <c r="E27" s="33">
        <v>29.509550000000001</v>
      </c>
      <c r="F27" s="3">
        <f t="shared" si="2"/>
        <v>29.778467264716255</v>
      </c>
      <c r="G27" s="28"/>
      <c r="H27" s="28"/>
      <c r="I27" s="28"/>
      <c r="J27" s="28"/>
      <c r="K27" s="28"/>
    </row>
    <row r="28" spans="1:11" x14ac:dyDescent="0.35">
      <c r="A28" s="12" t="s">
        <v>3</v>
      </c>
      <c r="B28" s="13">
        <v>33.481380000000001</v>
      </c>
      <c r="C28" s="39">
        <v>64.7</v>
      </c>
      <c r="D28" s="13">
        <v>30.066445182724301</v>
      </c>
      <c r="E28" s="33">
        <v>45.977400000000003</v>
      </c>
      <c r="F28" s="3">
        <f t="shared" si="2"/>
        <v>42.645454381388802</v>
      </c>
      <c r="G28" s="28"/>
      <c r="H28" s="28"/>
      <c r="I28" s="28"/>
      <c r="J28" s="28"/>
      <c r="K28" s="28"/>
    </row>
    <row r="29" spans="1:11" x14ac:dyDescent="0.35">
      <c r="A29" s="12" t="s">
        <v>4</v>
      </c>
      <c r="B29" s="13">
        <v>24.51033</v>
      </c>
      <c r="C29" s="39">
        <v>32.5</v>
      </c>
      <c r="D29" s="13">
        <v>11.7940199335548</v>
      </c>
      <c r="E29" s="33">
        <v>14.50985</v>
      </c>
      <c r="F29" s="3">
        <f t="shared" si="2"/>
        <v>20.290949675713783</v>
      </c>
      <c r="G29" s="28"/>
      <c r="H29" s="28"/>
      <c r="I29" s="28"/>
      <c r="J29" s="28"/>
      <c r="K29" s="28"/>
    </row>
    <row r="30" spans="1:11" x14ac:dyDescent="0.35">
      <c r="A30" s="12" t="s">
        <v>44</v>
      </c>
      <c r="B30" s="13">
        <v>13.64889</v>
      </c>
      <c r="C30" s="39">
        <v>15.7</v>
      </c>
      <c r="D30" s="13">
        <v>7.4750830564784101</v>
      </c>
      <c r="E30" s="33">
        <v>3.8582040000000002</v>
      </c>
      <c r="F30" s="3">
        <f t="shared" si="2"/>
        <v>9.3518915417694757</v>
      </c>
      <c r="G30" s="28"/>
      <c r="H30" s="28"/>
      <c r="I30" s="28"/>
      <c r="J30" s="28"/>
      <c r="K30" s="28"/>
    </row>
    <row r="31" spans="1:11" x14ac:dyDescent="0.35">
      <c r="A31" s="12" t="s">
        <v>45</v>
      </c>
      <c r="B31" s="13">
        <v>2.9919630000000002</v>
      </c>
      <c r="C31" s="39">
        <v>5.4</v>
      </c>
      <c r="D31" s="13">
        <v>6.6445182724252501</v>
      </c>
      <c r="E31" s="33">
        <v>2.6383839999999998</v>
      </c>
      <c r="F31" s="3">
        <f t="shared" si="2"/>
        <v>3.5844454219245687</v>
      </c>
      <c r="G31" s="28"/>
      <c r="H31" s="28"/>
      <c r="I31" s="28"/>
      <c r="J31" s="28"/>
      <c r="K31" s="28"/>
    </row>
    <row r="32" spans="1:11" x14ac:dyDescent="0.35">
      <c r="A32" s="14" t="s">
        <v>6</v>
      </c>
      <c r="B32" s="13">
        <v>1972</v>
      </c>
      <c r="C32" s="13">
        <v>818</v>
      </c>
      <c r="D32" s="13">
        <v>602</v>
      </c>
      <c r="E32" s="13">
        <v>2282</v>
      </c>
      <c r="F32" s="3">
        <f>SUM(B32:E32)</f>
        <v>5674</v>
      </c>
      <c r="G32" s="28"/>
      <c r="H32" s="28"/>
      <c r="I32" s="28"/>
      <c r="J32" s="28"/>
      <c r="K32" s="28"/>
    </row>
    <row r="33" spans="1:11" x14ac:dyDescent="0.35">
      <c r="A33" s="14" t="s">
        <v>7</v>
      </c>
      <c r="B33" s="15">
        <f>B32/SUM($B$32:$E$32)</f>
        <v>0.34755022911526262</v>
      </c>
      <c r="C33" s="15">
        <f t="shared" ref="C33:E33" si="3">C32/SUM($B$32:$E$32)</f>
        <v>0.14416637292915052</v>
      </c>
      <c r="D33" s="15">
        <f t="shared" si="3"/>
        <v>0.1060979908353895</v>
      </c>
      <c r="E33" s="15">
        <f t="shared" si="3"/>
        <v>0.4021854071201974</v>
      </c>
      <c r="F33" s="3">
        <f>SUM(B33:E33)</f>
        <v>1</v>
      </c>
      <c r="G33" s="28"/>
      <c r="H33" s="28"/>
      <c r="I33" s="28"/>
      <c r="J33" s="28"/>
      <c r="K33" s="28"/>
    </row>
    <row r="34" spans="1:11" x14ac:dyDescent="0.35">
      <c r="A34" s="8"/>
      <c r="B34" s="8"/>
      <c r="C34" s="8"/>
      <c r="D34" s="8"/>
      <c r="E34" s="8"/>
      <c r="F34" s="8"/>
      <c r="G34" s="28"/>
      <c r="H34" s="28"/>
      <c r="I34" s="28"/>
      <c r="J34" s="28"/>
      <c r="K34" s="28"/>
    </row>
    <row r="35" spans="1:11" x14ac:dyDescent="0.35">
      <c r="A35" s="16" t="s">
        <v>46</v>
      </c>
      <c r="B35" s="8"/>
      <c r="C35" s="8"/>
      <c r="D35" s="8"/>
      <c r="E35" s="8"/>
      <c r="F35" s="8"/>
      <c r="G35" s="28"/>
      <c r="H35" s="28"/>
      <c r="I35" s="28"/>
      <c r="J35" s="28"/>
      <c r="K35" s="28"/>
    </row>
    <row r="36" spans="1:11" x14ac:dyDescent="0.35">
      <c r="A36" s="28"/>
      <c r="B36" s="28"/>
      <c r="C36" s="28"/>
      <c r="D36" s="28"/>
      <c r="E36" s="28"/>
      <c r="F36" s="28"/>
      <c r="G36" s="28"/>
      <c r="H36" s="28"/>
      <c r="I36" s="28"/>
      <c r="J36" s="28"/>
      <c r="K36" s="28"/>
    </row>
    <row r="37" spans="1:11" x14ac:dyDescent="0.35">
      <c r="A37" s="28"/>
      <c r="B37" s="28"/>
      <c r="C37" s="28"/>
      <c r="D37" s="28"/>
      <c r="E37" s="28"/>
      <c r="F37" s="28"/>
      <c r="G37" s="28"/>
      <c r="H37" s="28"/>
      <c r="I37" s="28"/>
      <c r="J37" s="28"/>
      <c r="K37" s="28"/>
    </row>
  </sheetData>
  <hyperlinks>
    <hyperlink ref="A17" location="Contents!A1" display="Table of Contents" xr:uid="{6C6C6C79-CF9C-4FEB-AB19-418636E6CCB2}"/>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0013-5DC0-4865-8DB2-A0810F4C45DF}">
  <sheetPr>
    <tabColor rgb="FF00B050"/>
  </sheetPr>
  <dimension ref="A2:I33"/>
  <sheetViews>
    <sheetView topLeftCell="A7" workbookViewId="0">
      <selection activeCell="A14" sqref="A14"/>
    </sheetView>
  </sheetViews>
  <sheetFormatPr defaultRowHeight="14.5" x14ac:dyDescent="0.35"/>
  <cols>
    <col min="1" max="1" width="40.26953125" customWidth="1"/>
    <col min="2" max="2" width="15.26953125" customWidth="1"/>
    <col min="3" max="3" width="17.26953125" customWidth="1"/>
    <col min="4" max="4" width="19.26953125" customWidth="1"/>
    <col min="5" max="8" width="19.1796875" customWidth="1"/>
    <col min="9" max="9" width="13.54296875" customWidth="1"/>
  </cols>
  <sheetData>
    <row r="2" spans="1:9" ht="15.5" x14ac:dyDescent="0.35">
      <c r="A2" s="9" t="s">
        <v>26</v>
      </c>
      <c r="B2" s="8"/>
      <c r="C2" s="8"/>
      <c r="D2" s="8"/>
      <c r="E2" s="8"/>
      <c r="F2" s="8"/>
      <c r="G2" s="8"/>
      <c r="H2" s="8"/>
      <c r="I2" s="8"/>
    </row>
    <row r="3" spans="1:9" ht="56" x14ac:dyDescent="0.35">
      <c r="A3" s="10"/>
      <c r="B3" s="11" t="s">
        <v>8</v>
      </c>
      <c r="C3" s="11" t="s">
        <v>9</v>
      </c>
      <c r="D3" s="11" t="s">
        <v>10</v>
      </c>
      <c r="E3" s="11" t="s">
        <v>11</v>
      </c>
      <c r="F3" s="11" t="s">
        <v>36</v>
      </c>
      <c r="G3" s="11" t="s">
        <v>35</v>
      </c>
      <c r="H3" s="11" t="s">
        <v>37</v>
      </c>
      <c r="I3" s="2" t="s">
        <v>12</v>
      </c>
    </row>
    <row r="4" spans="1:9" x14ac:dyDescent="0.35">
      <c r="A4" s="12" t="s">
        <v>13</v>
      </c>
      <c r="B4" s="13">
        <v>15.26</v>
      </c>
      <c r="C4" s="13">
        <v>16.7</v>
      </c>
      <c r="D4" s="13">
        <v>24.45</v>
      </c>
      <c r="E4" s="13">
        <v>21.78</v>
      </c>
      <c r="F4" s="13">
        <v>20</v>
      </c>
      <c r="G4" s="13">
        <v>26.7</v>
      </c>
      <c r="H4" s="13">
        <v>27.27</v>
      </c>
      <c r="I4" s="3">
        <f>B4*$B$9+C4*$C$9+D4*$D$9+E4*$E$9+F4*$F$9+G4*$G$9+H4*$H$9</f>
        <v>20.835523633998264</v>
      </c>
    </row>
    <row r="5" spans="1:9" x14ac:dyDescent="0.35">
      <c r="A5" s="12" t="s">
        <v>14</v>
      </c>
      <c r="B5" s="13">
        <v>39.33</v>
      </c>
      <c r="C5" s="13">
        <v>29.4</v>
      </c>
      <c r="D5" s="13">
        <v>35.24</v>
      </c>
      <c r="E5" s="13">
        <v>36.619999999999997</v>
      </c>
      <c r="F5" s="13">
        <v>30</v>
      </c>
      <c r="G5" s="13">
        <v>35.299999999999997</v>
      </c>
      <c r="H5" s="13">
        <v>31.4</v>
      </c>
      <c r="I5" s="3">
        <f t="shared" ref="I5:I7" si="0">B5*$B$9+C5*$C$9+D5*$D$9+E5*$E$9+F5*$F$9+G5*$G$9+H5*$H$9</f>
        <v>35.276179531656545</v>
      </c>
    </row>
    <row r="6" spans="1:9" x14ac:dyDescent="0.35">
      <c r="A6" s="12" t="s">
        <v>15</v>
      </c>
      <c r="B6" s="13">
        <v>32.200000000000003</v>
      </c>
      <c r="C6" s="13">
        <v>37.299999999999997</v>
      </c>
      <c r="D6" s="13">
        <v>27.53</v>
      </c>
      <c r="E6" s="13">
        <v>27.63</v>
      </c>
      <c r="F6" s="13">
        <v>32</v>
      </c>
      <c r="G6" s="13">
        <v>28.8</v>
      </c>
      <c r="H6" s="13">
        <v>29.75</v>
      </c>
      <c r="I6" s="3">
        <f t="shared" si="0"/>
        <v>30.427477233304423</v>
      </c>
    </row>
    <row r="7" spans="1:9" x14ac:dyDescent="0.35">
      <c r="A7" s="12" t="s">
        <v>16</v>
      </c>
      <c r="B7" s="13">
        <v>13.22</v>
      </c>
      <c r="C7" s="13">
        <v>16.7</v>
      </c>
      <c r="D7" s="13">
        <v>12.78</v>
      </c>
      <c r="E7" s="13">
        <v>13.96</v>
      </c>
      <c r="F7" s="13">
        <v>18</v>
      </c>
      <c r="G7" s="13">
        <v>9.1999999999999993</v>
      </c>
      <c r="H7" s="13">
        <v>11.57</v>
      </c>
      <c r="I7" s="3">
        <f t="shared" si="0"/>
        <v>13.472063096270599</v>
      </c>
    </row>
    <row r="8" spans="1:9" x14ac:dyDescent="0.35">
      <c r="A8" s="14" t="s">
        <v>6</v>
      </c>
      <c r="B8" s="13">
        <v>2014</v>
      </c>
      <c r="C8" s="8">
        <v>1097</v>
      </c>
      <c r="D8" s="8">
        <v>908</v>
      </c>
      <c r="E8" s="13">
        <v>2492</v>
      </c>
      <c r="F8" s="13">
        <v>873</v>
      </c>
      <c r="G8" s="13">
        <v>1719</v>
      </c>
      <c r="H8" s="13">
        <v>121</v>
      </c>
      <c r="I8" s="3">
        <f>SUM(B8:H8)</f>
        <v>9224</v>
      </c>
    </row>
    <row r="9" spans="1:9" x14ac:dyDescent="0.35">
      <c r="A9" s="14" t="s">
        <v>7</v>
      </c>
      <c r="B9" s="15">
        <f>B8/SUM($B$8:$H$8)</f>
        <v>0.21834345186470078</v>
      </c>
      <c r="C9" s="15">
        <f t="shared" ref="C9:H9" si="1">C8/SUM($B$8:$H$8)</f>
        <v>0.11892888117953165</v>
      </c>
      <c r="D9" s="15">
        <f t="shared" si="1"/>
        <v>9.8438855160450991E-2</v>
      </c>
      <c r="E9" s="15">
        <f t="shared" si="1"/>
        <v>0.27016478751084128</v>
      </c>
      <c r="F9" s="15">
        <f t="shared" si="1"/>
        <v>9.4644405897658282E-2</v>
      </c>
      <c r="G9" s="15">
        <f t="shared" si="1"/>
        <v>0.18636166522116218</v>
      </c>
      <c r="H9" s="15">
        <f t="shared" si="1"/>
        <v>1.3117953165654813E-2</v>
      </c>
      <c r="I9" s="3">
        <f>SUM(B9:H9)</f>
        <v>0.99999999999999989</v>
      </c>
    </row>
    <row r="10" spans="1:9" x14ac:dyDescent="0.35">
      <c r="A10" s="12"/>
      <c r="B10" s="8"/>
      <c r="C10" s="8"/>
      <c r="D10" s="8"/>
      <c r="E10" s="8"/>
      <c r="F10" s="8"/>
      <c r="G10" s="8"/>
      <c r="H10" s="8"/>
      <c r="I10" s="5"/>
    </row>
    <row r="11" spans="1:9" x14ac:dyDescent="0.35">
      <c r="A11" s="17" t="s">
        <v>17</v>
      </c>
      <c r="B11" s="34">
        <f>(0*B4+0.5*B5+3*B6+7.5*B7)/100</f>
        <v>2.15415</v>
      </c>
      <c r="C11" s="34">
        <f t="shared" ref="C11:H11" si="2">(0*C4+0.5*C5+3*C6+7.5*C7)/100</f>
        <v>2.5185</v>
      </c>
      <c r="D11" s="34">
        <f t="shared" si="2"/>
        <v>1.9606000000000001</v>
      </c>
      <c r="E11" s="34">
        <f t="shared" si="2"/>
        <v>2.0590000000000002</v>
      </c>
      <c r="F11" s="34">
        <f t="shared" si="2"/>
        <v>2.46</v>
      </c>
      <c r="G11" s="34">
        <f t="shared" si="2"/>
        <v>1.7305000000000001</v>
      </c>
      <c r="H11" s="34">
        <f t="shared" si="2"/>
        <v>1.9172500000000001</v>
      </c>
      <c r="I11" s="6">
        <f>B11*B9+C11*C9+D11*D9+E11*E9+F11*F9+G11*G9+H11*H9</f>
        <v>2.0996099468777105</v>
      </c>
    </row>
    <row r="12" spans="1:9" x14ac:dyDescent="0.35">
      <c r="A12" s="8"/>
      <c r="B12" s="8"/>
      <c r="C12" s="8"/>
      <c r="D12" s="8"/>
      <c r="E12" s="8"/>
      <c r="F12" s="8"/>
      <c r="G12" s="8"/>
      <c r="H12" s="8"/>
      <c r="I12" s="8"/>
    </row>
    <row r="13" spans="1:9" x14ac:dyDescent="0.35">
      <c r="A13" s="18" t="s">
        <v>62</v>
      </c>
      <c r="B13" s="8"/>
      <c r="C13" s="8"/>
      <c r="D13" s="8"/>
      <c r="E13" s="8"/>
      <c r="F13" s="8"/>
      <c r="G13" s="8"/>
      <c r="H13" s="8"/>
      <c r="I13" s="8"/>
    </row>
    <row r="14" spans="1:9" s="28" customFormat="1" x14ac:dyDescent="0.35">
      <c r="A14" s="27" t="s">
        <v>40</v>
      </c>
    </row>
    <row r="15" spans="1:9" x14ac:dyDescent="0.35">
      <c r="A15" s="28"/>
      <c r="B15" s="28"/>
      <c r="C15" s="28"/>
      <c r="D15" s="28"/>
      <c r="E15" s="28"/>
      <c r="F15" s="28"/>
      <c r="G15" s="28"/>
      <c r="H15" s="28"/>
      <c r="I15" s="28"/>
    </row>
    <row r="16" spans="1:9" x14ac:dyDescent="0.35">
      <c r="A16" s="37" t="s">
        <v>32</v>
      </c>
      <c r="B16" s="28"/>
      <c r="C16" s="28"/>
      <c r="D16" s="28"/>
      <c r="E16" s="28"/>
      <c r="F16" s="28"/>
      <c r="G16" s="28"/>
      <c r="H16" s="28"/>
      <c r="I16" s="28"/>
    </row>
    <row r="17" spans="1:9" x14ac:dyDescent="0.35">
      <c r="A17" s="28"/>
      <c r="B17" s="28"/>
      <c r="C17" s="28"/>
      <c r="D17" s="28"/>
      <c r="E17" s="28"/>
      <c r="F17" s="28"/>
      <c r="G17" s="28"/>
      <c r="H17" s="28"/>
      <c r="I17" s="28"/>
    </row>
    <row r="18" spans="1:9" x14ac:dyDescent="0.35">
      <c r="A18" s="28"/>
      <c r="B18" s="28"/>
      <c r="C18" s="28"/>
      <c r="D18" s="28"/>
      <c r="E18" s="28"/>
      <c r="F18" s="28"/>
      <c r="G18" s="28"/>
      <c r="H18" s="28"/>
      <c r="I18" s="28"/>
    </row>
    <row r="19" spans="1:9" x14ac:dyDescent="0.35">
      <c r="A19" s="28"/>
      <c r="B19" s="28"/>
      <c r="C19" s="28"/>
      <c r="D19" s="28"/>
      <c r="E19" s="28"/>
      <c r="F19" s="28"/>
      <c r="G19" s="28"/>
      <c r="H19" s="28"/>
      <c r="I19" s="28"/>
    </row>
    <row r="20" spans="1:9" x14ac:dyDescent="0.35">
      <c r="A20" s="28"/>
      <c r="B20" s="28"/>
      <c r="C20" s="28"/>
      <c r="D20" s="28"/>
      <c r="E20" s="28"/>
      <c r="F20" s="28"/>
      <c r="G20" s="28"/>
      <c r="H20" s="28"/>
      <c r="I20" s="28"/>
    </row>
    <row r="21" spans="1:9" x14ac:dyDescent="0.35">
      <c r="A21" s="36" t="s">
        <v>47</v>
      </c>
      <c r="B21" s="28"/>
      <c r="C21" s="28"/>
      <c r="D21" s="28"/>
      <c r="E21" s="28"/>
      <c r="F21" s="28"/>
      <c r="G21" s="28"/>
      <c r="H21" s="28"/>
      <c r="I21" s="28"/>
    </row>
    <row r="22" spans="1:9" ht="15.5" x14ac:dyDescent="0.35">
      <c r="A22" s="9" t="s">
        <v>26</v>
      </c>
      <c r="B22" s="8"/>
      <c r="C22" s="8"/>
      <c r="D22" s="8"/>
      <c r="E22" s="8"/>
      <c r="F22" s="8"/>
      <c r="G22" s="28"/>
      <c r="H22" s="28"/>
      <c r="I22" s="28"/>
    </row>
    <row r="23" spans="1:9" ht="42" x14ac:dyDescent="0.35">
      <c r="A23" s="10"/>
      <c r="B23" s="11" t="s">
        <v>8</v>
      </c>
      <c r="C23" s="11" t="s">
        <v>9</v>
      </c>
      <c r="D23" s="11" t="s">
        <v>10</v>
      </c>
      <c r="E23" s="11" t="s">
        <v>11</v>
      </c>
      <c r="F23" s="2" t="s">
        <v>12</v>
      </c>
      <c r="G23" s="28"/>
      <c r="H23" s="28"/>
      <c r="I23" s="28"/>
    </row>
    <row r="24" spans="1:9" x14ac:dyDescent="0.35">
      <c r="A24" s="12" t="s">
        <v>13</v>
      </c>
      <c r="B24" s="13">
        <v>25.44</v>
      </c>
      <c r="C24" s="13">
        <v>27.8</v>
      </c>
      <c r="D24" s="13">
        <v>33.720930232558104</v>
      </c>
      <c r="E24" s="13">
        <v>29.21</v>
      </c>
      <c r="F24" s="3">
        <f>B24*$B$29+C24*$C$29+D24*$D$29+E24*$E$29</f>
        <v>28.216037706450606</v>
      </c>
      <c r="G24" s="28"/>
      <c r="H24" s="28"/>
      <c r="I24" s="28"/>
    </row>
    <row r="25" spans="1:9" x14ac:dyDescent="0.35">
      <c r="A25" s="12" t="s">
        <v>14</v>
      </c>
      <c r="B25" s="13">
        <v>44.9</v>
      </c>
      <c r="C25" s="13">
        <v>35</v>
      </c>
      <c r="D25" s="13">
        <v>35.714285714285701</v>
      </c>
      <c r="E25" s="13">
        <v>41.02</v>
      </c>
      <c r="F25" s="3">
        <f t="shared" ref="F25:F27" si="3">B25*$B$29+C25*$C$29+D25*$D$29+E25*$E$29</f>
        <v>40.718884387659706</v>
      </c>
      <c r="G25" s="28"/>
      <c r="H25" s="28"/>
      <c r="I25" s="28"/>
    </row>
    <row r="26" spans="1:9" x14ac:dyDescent="0.35">
      <c r="A26" s="12" t="s">
        <v>15</v>
      </c>
      <c r="B26" s="13">
        <v>23.19</v>
      </c>
      <c r="C26" s="13">
        <v>28.6</v>
      </c>
      <c r="D26" s="13">
        <v>22.093023255814</v>
      </c>
      <c r="E26" s="13">
        <v>22.58</v>
      </c>
      <c r="F26" s="3">
        <f t="shared" si="3"/>
        <v>23.741855718292307</v>
      </c>
      <c r="G26" s="28"/>
      <c r="H26" s="28"/>
      <c r="I26" s="28"/>
    </row>
    <row r="27" spans="1:9" x14ac:dyDescent="0.35">
      <c r="A27" s="12" t="s">
        <v>16</v>
      </c>
      <c r="B27" s="13">
        <v>6.47</v>
      </c>
      <c r="C27" s="13">
        <v>8.6999999999999993</v>
      </c>
      <c r="D27" s="13">
        <v>8.4717607973421902</v>
      </c>
      <c r="E27" s="13">
        <v>7.2</v>
      </c>
      <c r="F27" s="3">
        <f t="shared" si="3"/>
        <v>7.3443580554689927</v>
      </c>
      <c r="G27" s="28"/>
      <c r="H27" s="28"/>
      <c r="I27" s="28"/>
    </row>
    <row r="28" spans="1:9" x14ac:dyDescent="0.35">
      <c r="A28" s="14" t="s">
        <v>6</v>
      </c>
      <c r="B28" s="13">
        <v>2007</v>
      </c>
      <c r="C28" s="8">
        <v>1084</v>
      </c>
      <c r="D28" s="8">
        <v>602</v>
      </c>
      <c r="E28" s="13">
        <v>2725</v>
      </c>
      <c r="F28" s="3">
        <f>SUM(B28:E28)</f>
        <v>6418</v>
      </c>
      <c r="G28" s="28"/>
      <c r="H28" s="28"/>
      <c r="I28" s="28"/>
    </row>
    <row r="29" spans="1:9" x14ac:dyDescent="0.35">
      <c r="A29" s="14" t="s">
        <v>7</v>
      </c>
      <c r="B29" s="15">
        <f>B28/SUM($B$28:$E$28)</f>
        <v>0.31271424119663449</v>
      </c>
      <c r="C29" s="15">
        <f t="shared" ref="C29:E29" si="4">C28/SUM($B$28:$E$28)</f>
        <v>0.16889996883764413</v>
      </c>
      <c r="D29" s="15">
        <f t="shared" si="4"/>
        <v>9.3798691181053287E-2</v>
      </c>
      <c r="E29" s="15">
        <f t="shared" si="4"/>
        <v>0.4245870987846681</v>
      </c>
      <c r="F29" s="3">
        <f>SUM(B29:E29)</f>
        <v>1</v>
      </c>
      <c r="G29" s="28"/>
      <c r="H29" s="28"/>
      <c r="I29" s="28"/>
    </row>
    <row r="30" spans="1:9" x14ac:dyDescent="0.35">
      <c r="A30" s="12"/>
      <c r="B30" s="8"/>
      <c r="C30" s="8"/>
      <c r="D30" s="8"/>
      <c r="E30" s="8"/>
      <c r="F30" s="5"/>
      <c r="G30" s="28"/>
      <c r="H30" s="28"/>
      <c r="I30" s="28"/>
    </row>
    <row r="31" spans="1:9" x14ac:dyDescent="0.35">
      <c r="A31" s="17" t="s">
        <v>17</v>
      </c>
      <c r="B31" s="38">
        <f>(0*B24+0.5*B25+3*B26+7.5*B27)/100</f>
        <v>1.4054500000000001</v>
      </c>
      <c r="C31" s="38">
        <f>(0*C24+0.5*C25+3*C26+7.5*C27)/100</f>
        <v>1.6855000000000002</v>
      </c>
      <c r="D31" s="38">
        <f>(0*D24+0.5*D25+3*D26+7.5*D27)/100</f>
        <v>1.4767441860465127</v>
      </c>
      <c r="E31" s="38">
        <f>(0*E24+0.5*E25+3*E26+7.5*E27)/100</f>
        <v>1.4225000000000001</v>
      </c>
      <c r="F31" s="6">
        <f>B31*B29+C31*C29+D31*D29+E31*E29</f>
        <v>1.4666769476472425</v>
      </c>
      <c r="G31" s="28"/>
      <c r="H31" s="28"/>
      <c r="I31" s="28"/>
    </row>
    <row r="32" spans="1:9" x14ac:dyDescent="0.35">
      <c r="A32" s="8"/>
      <c r="B32" s="8"/>
      <c r="C32" s="8"/>
      <c r="D32" s="8"/>
      <c r="E32" s="8"/>
      <c r="F32" s="8"/>
      <c r="G32" s="28"/>
      <c r="H32" s="28"/>
      <c r="I32" s="28"/>
    </row>
    <row r="33" spans="1:9" x14ac:dyDescent="0.35">
      <c r="A33" s="18" t="s">
        <v>49</v>
      </c>
      <c r="B33" s="8"/>
      <c r="C33" s="8"/>
      <c r="D33" s="8"/>
      <c r="E33" s="8"/>
      <c r="F33" s="8"/>
      <c r="G33" s="28"/>
      <c r="H33" s="28"/>
      <c r="I33" s="28"/>
    </row>
  </sheetData>
  <hyperlinks>
    <hyperlink ref="A16" location="Contents!A1" display="Table of Contents" xr:uid="{7F0095B1-0044-4A5E-8DC6-4E67E29C52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FF47-31E4-40F0-8AD4-1D4997161AEF}">
  <sheetPr>
    <tabColor rgb="FF00B050"/>
  </sheetPr>
  <dimension ref="A1:I34"/>
  <sheetViews>
    <sheetView tabSelected="1" workbookViewId="0">
      <selection activeCell="I16" sqref="I16"/>
    </sheetView>
  </sheetViews>
  <sheetFormatPr defaultRowHeight="14.5" x14ac:dyDescent="0.35"/>
  <cols>
    <col min="1" max="1" width="57.7265625" customWidth="1"/>
    <col min="2" max="2" width="17.54296875" customWidth="1"/>
    <col min="3" max="3" width="19.26953125" customWidth="1"/>
    <col min="4" max="4" width="17.81640625" customWidth="1"/>
    <col min="5" max="8" width="22.54296875" customWidth="1"/>
    <col min="9" max="9" width="15" customWidth="1"/>
  </cols>
  <sheetData>
    <row r="1" spans="1:9" x14ac:dyDescent="0.35">
      <c r="A1" s="8"/>
      <c r="B1" s="8"/>
      <c r="C1" s="8"/>
      <c r="D1" s="8"/>
      <c r="E1" s="8"/>
      <c r="F1" s="8"/>
      <c r="G1" s="8"/>
      <c r="H1" s="8"/>
      <c r="I1" s="8"/>
    </row>
    <row r="2" spans="1:9" ht="15.5" x14ac:dyDescent="0.35">
      <c r="A2" s="9" t="s">
        <v>27</v>
      </c>
      <c r="B2" s="8"/>
      <c r="C2" s="8"/>
      <c r="D2" s="8"/>
      <c r="E2" s="8"/>
      <c r="F2" s="8"/>
      <c r="G2" s="8"/>
      <c r="H2" s="8"/>
      <c r="I2" s="8"/>
    </row>
    <row r="3" spans="1:9" ht="42" x14ac:dyDescent="0.35">
      <c r="A3" s="10"/>
      <c r="B3" s="11" t="s">
        <v>8</v>
      </c>
      <c r="C3" s="11" t="s">
        <v>9</v>
      </c>
      <c r="D3" s="11" t="s">
        <v>10</v>
      </c>
      <c r="E3" s="11" t="s">
        <v>11</v>
      </c>
      <c r="F3" s="11" t="s">
        <v>36</v>
      </c>
      <c r="G3" s="11" t="s">
        <v>35</v>
      </c>
      <c r="H3" s="11" t="s">
        <v>37</v>
      </c>
      <c r="I3" s="2" t="s">
        <v>12</v>
      </c>
    </row>
    <row r="4" spans="1:9" x14ac:dyDescent="0.35">
      <c r="A4" s="8" t="s">
        <v>19</v>
      </c>
      <c r="B4" s="19">
        <v>0.91</v>
      </c>
      <c r="C4" s="13">
        <v>0.3</v>
      </c>
      <c r="D4" s="13">
        <v>4.1849999999999996</v>
      </c>
      <c r="E4" s="13">
        <v>0.46</v>
      </c>
      <c r="F4" s="13">
        <v>1.5018773466833542</v>
      </c>
      <c r="G4" s="13">
        <v>1</v>
      </c>
      <c r="H4" s="13">
        <v>4.3099999999999996</v>
      </c>
      <c r="I4" s="4">
        <f>B4*$B$10+C4*$C$10+D4*$D$10+E4*$E$10+F4*$F$10+G4*$G$10+H4*$H$10</f>
        <v>1.1837397072278133</v>
      </c>
    </row>
    <row r="5" spans="1:9" x14ac:dyDescent="0.35">
      <c r="A5" s="8" t="s">
        <v>20</v>
      </c>
      <c r="B5" s="20">
        <v>6.97</v>
      </c>
      <c r="C5" s="13">
        <v>4.5999999999999996</v>
      </c>
      <c r="D5" s="13">
        <v>8.1498000000000008</v>
      </c>
      <c r="E5" s="13">
        <v>1.47</v>
      </c>
      <c r="F5" s="13">
        <v>4.1301627033792236</v>
      </c>
      <c r="G5" s="13">
        <v>6.5</v>
      </c>
      <c r="H5" s="13">
        <v>4.3099999999999996</v>
      </c>
      <c r="I5" s="3">
        <f t="shared" ref="I5:I8" si="0">B5*$B$10+C5*$C$10+D5*$D$10+E5*$E$10+F5*$F$10+G5*$G$10+H5*$H$10</f>
        <v>5.0323694419030192</v>
      </c>
    </row>
    <row r="6" spans="1:9" x14ac:dyDescent="0.35">
      <c r="A6" s="8" t="s">
        <v>18</v>
      </c>
      <c r="B6" s="20">
        <v>87.54</v>
      </c>
      <c r="C6" s="13">
        <v>88.2</v>
      </c>
      <c r="D6" s="13">
        <v>74.339200000000005</v>
      </c>
      <c r="E6" s="13">
        <v>95</v>
      </c>
      <c r="F6" s="13">
        <v>88.360450563204012</v>
      </c>
      <c r="G6" s="13">
        <v>79.5</v>
      </c>
      <c r="H6" s="13">
        <v>81.900000000000006</v>
      </c>
      <c r="I6" s="3">
        <f t="shared" si="0"/>
        <v>86.573331838975292</v>
      </c>
    </row>
    <row r="7" spans="1:9" x14ac:dyDescent="0.35">
      <c r="A7" s="8" t="s">
        <v>68</v>
      </c>
      <c r="B7" s="20">
        <v>3.87</v>
      </c>
      <c r="C7" s="13">
        <v>5.6</v>
      </c>
      <c r="D7" s="13">
        <v>9.9118999999999993</v>
      </c>
      <c r="E7" s="13">
        <v>1.7</v>
      </c>
      <c r="F7" s="13">
        <v>3.5043804755944929</v>
      </c>
      <c r="G7" s="13">
        <v>10.3</v>
      </c>
      <c r="H7" s="13">
        <v>7.76</v>
      </c>
      <c r="I7" s="3">
        <f t="shared" si="0"/>
        <v>5.416494190301921</v>
      </c>
    </row>
    <row r="8" spans="1:9" x14ac:dyDescent="0.35">
      <c r="A8" s="8" t="s">
        <v>69</v>
      </c>
      <c r="B8" s="20">
        <v>0.71</v>
      </c>
      <c r="C8" s="13">
        <v>1.3</v>
      </c>
      <c r="D8" s="13">
        <v>3.4140999999999999</v>
      </c>
      <c r="E8" s="13">
        <v>1.37</v>
      </c>
      <c r="F8" s="13">
        <v>2.5031289111389237</v>
      </c>
      <c r="G8" s="13">
        <v>2.7</v>
      </c>
      <c r="H8" s="13">
        <v>1.72</v>
      </c>
      <c r="I8" s="3">
        <f t="shared" si="0"/>
        <v>1.7940648215919488</v>
      </c>
    </row>
    <row r="9" spans="1:9" x14ac:dyDescent="0.35">
      <c r="A9" s="21" t="s">
        <v>6</v>
      </c>
      <c r="B9" s="22">
        <v>1988</v>
      </c>
      <c r="C9" s="8">
        <v>974</v>
      </c>
      <c r="D9" s="8">
        <v>908</v>
      </c>
      <c r="E9" s="13">
        <v>2240</v>
      </c>
      <c r="F9" s="13">
        <v>799</v>
      </c>
      <c r="G9" s="13">
        <v>1719</v>
      </c>
      <c r="H9" s="13">
        <v>116</v>
      </c>
      <c r="I9" s="3">
        <f>SUM(B9:H9)</f>
        <v>8744</v>
      </c>
    </row>
    <row r="10" spans="1:9" x14ac:dyDescent="0.35">
      <c r="A10" s="21" t="s">
        <v>7</v>
      </c>
      <c r="B10" s="23">
        <f>B9/SUM($B$9:$H$9)</f>
        <v>0.22735590118938701</v>
      </c>
      <c r="C10" s="15">
        <f t="shared" ref="C10:H10" si="1">C9/SUM($B$9:$H$9)</f>
        <v>0.11139066788655078</v>
      </c>
      <c r="D10" s="15">
        <f t="shared" si="1"/>
        <v>0.10384263494967978</v>
      </c>
      <c r="E10" s="15">
        <f t="shared" si="1"/>
        <v>0.25617566331198538</v>
      </c>
      <c r="F10" s="15">
        <f t="shared" si="1"/>
        <v>9.1376944190301915E-2</v>
      </c>
      <c r="G10" s="15">
        <f t="shared" si="1"/>
        <v>0.19659194876486732</v>
      </c>
      <c r="H10" s="15">
        <f t="shared" si="1"/>
        <v>1.3266239707227814E-2</v>
      </c>
      <c r="I10" s="3">
        <f>SUM(B10:H10)</f>
        <v>1</v>
      </c>
    </row>
    <row r="11" spans="1:9" x14ac:dyDescent="0.35">
      <c r="A11" s="8"/>
      <c r="B11" s="22"/>
      <c r="C11" s="8"/>
      <c r="D11" s="8"/>
      <c r="E11" s="8"/>
      <c r="F11" s="8"/>
      <c r="G11" s="8"/>
      <c r="H11" s="8"/>
      <c r="I11" s="5"/>
    </row>
    <row r="12" spans="1:9" x14ac:dyDescent="0.35">
      <c r="A12" s="24" t="s">
        <v>21</v>
      </c>
      <c r="B12" s="25">
        <f>((-7.5*B4-2.5*B5+0*B6+2.5*B7+7.5*B8)/100)</f>
        <v>-9.2499999999999999E-2</v>
      </c>
      <c r="C12" s="26">
        <f t="shared" ref="C12:H12" si="2">((-7.5*C4-2.5*C5+0*C6+2.5*C7+7.5*C8)/100)</f>
        <v>0.1</v>
      </c>
      <c r="D12" s="26">
        <f t="shared" si="2"/>
        <v>-1.3765000000000001E-2</v>
      </c>
      <c r="E12" s="26">
        <f t="shared" si="2"/>
        <v>7.400000000000001E-2</v>
      </c>
      <c r="F12" s="26">
        <f t="shared" si="2"/>
        <v>5.9449311639549446E-2</v>
      </c>
      <c r="G12" s="26">
        <f t="shared" si="2"/>
        <v>0.2225</v>
      </c>
      <c r="H12" s="26">
        <f t="shared" si="2"/>
        <v>-0.10799999999999996</v>
      </c>
      <c r="I12" s="7">
        <f>B12*B10+C12*C10+D12*D10+E12*E10+F10*F12+G10*G12+H10*H12</f>
        <v>5.5377502287282721E-2</v>
      </c>
    </row>
    <row r="13" spans="1:9" x14ac:dyDescent="0.35">
      <c r="A13" s="8"/>
      <c r="B13" s="8"/>
      <c r="C13" s="8"/>
      <c r="D13" s="8"/>
      <c r="E13" s="8"/>
      <c r="F13" s="8"/>
      <c r="G13" s="8"/>
      <c r="H13" s="8"/>
      <c r="I13" s="8"/>
    </row>
    <row r="14" spans="1:9" x14ac:dyDescent="0.35">
      <c r="A14" s="16" t="s">
        <v>63</v>
      </c>
      <c r="B14" s="8"/>
      <c r="C14" s="8"/>
      <c r="D14" s="8"/>
      <c r="E14" s="8"/>
      <c r="F14" s="8"/>
      <c r="G14" s="8"/>
      <c r="H14" s="8"/>
      <c r="I14" s="8"/>
    </row>
    <row r="15" spans="1:9" x14ac:dyDescent="0.35">
      <c r="A15" s="27" t="s">
        <v>40</v>
      </c>
      <c r="B15" s="8"/>
      <c r="C15" s="8"/>
      <c r="D15" s="8"/>
      <c r="E15" s="8"/>
      <c r="F15" s="8"/>
      <c r="G15" s="8"/>
      <c r="H15" s="8"/>
      <c r="I15" s="8"/>
    </row>
    <row r="16" spans="1:9" x14ac:dyDescent="0.35">
      <c r="A16" s="8"/>
      <c r="B16" s="8"/>
      <c r="C16" s="8"/>
      <c r="D16" s="8"/>
      <c r="E16" s="8"/>
      <c r="F16" s="8"/>
      <c r="G16" s="8"/>
      <c r="H16" s="8"/>
      <c r="I16" s="8"/>
    </row>
    <row r="17" spans="1:9" x14ac:dyDescent="0.35">
      <c r="A17" s="37" t="s">
        <v>32</v>
      </c>
      <c r="B17" s="28"/>
      <c r="C17" s="28"/>
      <c r="D17" s="28"/>
      <c r="E17" s="28"/>
      <c r="F17" s="28"/>
      <c r="G17" s="28"/>
      <c r="H17" s="28"/>
      <c r="I17" s="28"/>
    </row>
    <row r="18" spans="1:9" x14ac:dyDescent="0.35">
      <c r="A18" s="28"/>
      <c r="B18" s="28"/>
      <c r="C18" s="28"/>
      <c r="D18" s="28"/>
      <c r="E18" s="28"/>
      <c r="F18" s="28"/>
      <c r="G18" s="28"/>
      <c r="H18" s="28"/>
      <c r="I18" s="28"/>
    </row>
    <row r="19" spans="1:9" x14ac:dyDescent="0.35">
      <c r="A19" s="28"/>
      <c r="B19" s="28"/>
      <c r="C19" s="28"/>
      <c r="D19" s="28"/>
      <c r="E19" s="28"/>
      <c r="F19" s="28"/>
      <c r="G19" s="28"/>
      <c r="H19" s="28"/>
      <c r="I19" s="28"/>
    </row>
    <row r="20" spans="1:9" x14ac:dyDescent="0.35">
      <c r="A20" s="28"/>
      <c r="B20" s="28"/>
      <c r="C20" s="28"/>
      <c r="D20" s="28"/>
      <c r="E20" s="28"/>
      <c r="F20" s="28"/>
      <c r="G20" s="28"/>
      <c r="H20" s="28"/>
      <c r="I20" s="28"/>
    </row>
    <row r="21" spans="1:9" x14ac:dyDescent="0.35">
      <c r="A21" s="36" t="s">
        <v>47</v>
      </c>
      <c r="B21" s="8"/>
      <c r="C21" s="8"/>
      <c r="D21" s="8"/>
      <c r="E21" s="8"/>
      <c r="F21" s="8"/>
      <c r="G21" s="28"/>
      <c r="H21" s="28"/>
      <c r="I21" s="28"/>
    </row>
    <row r="22" spans="1:9" ht="15.5" x14ac:dyDescent="0.35">
      <c r="A22" s="9" t="s">
        <v>27</v>
      </c>
      <c r="B22" s="8"/>
      <c r="C22" s="8"/>
      <c r="D22" s="8"/>
      <c r="E22" s="8"/>
      <c r="F22" s="8"/>
      <c r="G22" s="28"/>
      <c r="H22" s="28"/>
      <c r="I22" s="28"/>
    </row>
    <row r="23" spans="1:9" ht="42" x14ac:dyDescent="0.35">
      <c r="A23" s="10"/>
      <c r="B23" s="11" t="s">
        <v>8</v>
      </c>
      <c r="C23" s="11" t="s">
        <v>9</v>
      </c>
      <c r="D23" s="11" t="s">
        <v>10</v>
      </c>
      <c r="E23" s="11" t="s">
        <v>11</v>
      </c>
      <c r="F23" s="2" t="s">
        <v>12</v>
      </c>
      <c r="G23" s="28"/>
      <c r="H23" s="28"/>
      <c r="I23" s="28"/>
    </row>
    <row r="24" spans="1:9" x14ac:dyDescent="0.35">
      <c r="A24" s="8" t="s">
        <v>19</v>
      </c>
      <c r="B24" s="19">
        <v>1.2</v>
      </c>
      <c r="C24" s="13">
        <v>1.6</v>
      </c>
      <c r="D24" s="13">
        <v>0.66449999999999998</v>
      </c>
      <c r="E24" s="13">
        <v>0.46</v>
      </c>
      <c r="F24" s="4">
        <f>B24*$B$30+C24*$C$30+D24*$D$30+E24*$E$30</f>
        <v>0.92685780765253378</v>
      </c>
      <c r="G24" s="28"/>
      <c r="H24" s="28"/>
      <c r="I24" s="28"/>
    </row>
    <row r="25" spans="1:9" x14ac:dyDescent="0.35">
      <c r="A25" s="8" t="s">
        <v>20</v>
      </c>
      <c r="B25" s="20">
        <v>6.57</v>
      </c>
      <c r="C25" s="13">
        <v>4.8</v>
      </c>
      <c r="D25" s="13">
        <v>4.9833999999999996</v>
      </c>
      <c r="E25" s="13">
        <v>1.47</v>
      </c>
      <c r="F25" s="3">
        <f t="shared" ref="F25:F28" si="3">B25*$B$30+C25*$C$30+D25*$D$30+E25*$E$30</f>
        <v>4.1349960013788349</v>
      </c>
      <c r="G25" s="28"/>
      <c r="H25" s="28"/>
      <c r="I25" s="28"/>
    </row>
    <row r="26" spans="1:9" x14ac:dyDescent="0.35">
      <c r="A26" s="8" t="s">
        <v>18</v>
      </c>
      <c r="B26" s="20">
        <v>88.89</v>
      </c>
      <c r="C26" s="13">
        <v>89.2</v>
      </c>
      <c r="D26" s="13">
        <v>81.395300000000006</v>
      </c>
      <c r="E26" s="13">
        <v>95</v>
      </c>
      <c r="F26" s="3">
        <f t="shared" si="3"/>
        <v>90.524069389865559</v>
      </c>
      <c r="G26" s="28"/>
      <c r="H26" s="28"/>
      <c r="I26" s="28"/>
    </row>
    <row r="27" spans="1:9" x14ac:dyDescent="0.35">
      <c r="A27" s="8" t="s">
        <v>68</v>
      </c>
      <c r="B27" s="20">
        <v>2.79</v>
      </c>
      <c r="C27" s="13">
        <v>3.7</v>
      </c>
      <c r="D27" s="13">
        <v>9.4684000000000008</v>
      </c>
      <c r="E27" s="13">
        <v>1.7</v>
      </c>
      <c r="F27" s="3">
        <f t="shared" si="3"/>
        <v>3.217072871423647</v>
      </c>
      <c r="G27" s="28"/>
      <c r="H27" s="28"/>
      <c r="I27" s="28"/>
    </row>
    <row r="28" spans="1:9" x14ac:dyDescent="0.35">
      <c r="A28" s="8" t="s">
        <v>69</v>
      </c>
      <c r="B28" s="20">
        <v>0.54</v>
      </c>
      <c r="C28" s="13">
        <v>0.8</v>
      </c>
      <c r="D28" s="13">
        <v>3.4883999999999999</v>
      </c>
      <c r="E28" s="13">
        <v>1.37</v>
      </c>
      <c r="F28" s="3">
        <f t="shared" si="3"/>
        <v>1.2106337125129265</v>
      </c>
      <c r="G28" s="28"/>
      <c r="H28" s="28"/>
      <c r="I28" s="28"/>
    </row>
    <row r="29" spans="1:9" x14ac:dyDescent="0.35">
      <c r="A29" s="21" t="s">
        <v>6</v>
      </c>
      <c r="B29" s="22">
        <v>1972</v>
      </c>
      <c r="C29" s="8">
        <v>988</v>
      </c>
      <c r="D29" s="8">
        <v>602</v>
      </c>
      <c r="E29" s="13">
        <v>2240</v>
      </c>
      <c r="F29" s="3">
        <f>SUM(B29:E29)</f>
        <v>5802</v>
      </c>
      <c r="G29" s="28"/>
      <c r="H29" s="28"/>
      <c r="I29" s="28"/>
    </row>
    <row r="30" spans="1:9" x14ac:dyDescent="0.35">
      <c r="A30" s="21" t="s">
        <v>7</v>
      </c>
      <c r="B30" s="23">
        <f>B29/SUM($B$29:$E$29)</f>
        <v>0.33988279903481561</v>
      </c>
      <c r="C30" s="15">
        <f t="shared" ref="C30:E30" si="4">C29/SUM($B$29:$E$29)</f>
        <v>0.17028610823853843</v>
      </c>
      <c r="D30" s="15">
        <f t="shared" si="4"/>
        <v>0.10375732506032402</v>
      </c>
      <c r="E30" s="15">
        <f t="shared" si="4"/>
        <v>0.38607376766632195</v>
      </c>
      <c r="F30" s="3">
        <f>SUM(B30:E30)</f>
        <v>1</v>
      </c>
      <c r="G30" s="28"/>
      <c r="H30" s="28"/>
      <c r="I30" s="28"/>
    </row>
    <row r="31" spans="1:9" x14ac:dyDescent="0.35">
      <c r="A31" s="8"/>
      <c r="B31" s="22"/>
      <c r="C31" s="8"/>
      <c r="D31" s="8"/>
      <c r="E31" s="8"/>
      <c r="F31" s="5"/>
      <c r="G31" s="28"/>
      <c r="H31" s="28"/>
      <c r="I31" s="28"/>
    </row>
    <row r="32" spans="1:9" x14ac:dyDescent="0.35">
      <c r="A32" s="24" t="s">
        <v>21</v>
      </c>
      <c r="B32" s="25">
        <f>((-7.5*B24-2.5*B25+0*B26+2.5*B27+7.5*B28)/100)</f>
        <v>-0.14400000000000002</v>
      </c>
      <c r="C32" s="26">
        <f>((-7.5*C24-2.5*C25+0*C26+2.5*C27+7.5*C28)/100)</f>
        <v>-8.7499999999999994E-2</v>
      </c>
      <c r="D32" s="26">
        <f>((-7.5*D24-2.5*D25+0*D26+2.5*D27+7.5*D28)/100)</f>
        <v>0.32391750000000002</v>
      </c>
      <c r="E32" s="26">
        <f>((-7.5*E24-2.5*E25+0*E26+2.5*E27+7.5*E28)/100)</f>
        <v>7.400000000000001E-2</v>
      </c>
      <c r="F32" s="7">
        <f>B32*B30+C32*C30+D32*D30+E32*E30</f>
        <v>-1.6648853843502405E-3</v>
      </c>
      <c r="G32" s="28"/>
      <c r="H32" s="28"/>
      <c r="I32" s="28"/>
    </row>
    <row r="33" spans="1:9" x14ac:dyDescent="0.35">
      <c r="A33" s="8"/>
      <c r="B33" s="8"/>
      <c r="C33" s="8"/>
      <c r="D33" s="8"/>
      <c r="E33" s="8"/>
      <c r="F33" s="8"/>
      <c r="G33" s="28"/>
      <c r="H33" s="28"/>
      <c r="I33" s="28"/>
    </row>
    <row r="34" spans="1:9" x14ac:dyDescent="0.35">
      <c r="A34" s="16" t="s">
        <v>50</v>
      </c>
      <c r="B34" s="8"/>
      <c r="C34" s="8"/>
      <c r="D34" s="8"/>
      <c r="E34" s="8"/>
      <c r="F34" s="8"/>
      <c r="G34" s="28"/>
      <c r="H34" s="28"/>
      <c r="I34" s="28"/>
    </row>
  </sheetData>
  <hyperlinks>
    <hyperlink ref="A17" location="Contents!A1" display="Table of Contents" xr:uid="{C2D0FFCC-5235-4EE3-B67E-5DDA31AD1D2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9C478-D71A-4296-938B-7542C7A2B4DF}">
  <sheetPr>
    <tabColor rgb="FF00B050"/>
  </sheetPr>
  <dimension ref="A2:I34"/>
  <sheetViews>
    <sheetView workbookViewId="0">
      <selection activeCell="A29" sqref="A29"/>
    </sheetView>
  </sheetViews>
  <sheetFormatPr defaultRowHeight="14.5" x14ac:dyDescent="0.35"/>
  <cols>
    <col min="1" max="1" width="55" customWidth="1"/>
    <col min="2" max="2" width="14.453125" customWidth="1"/>
    <col min="3" max="3" width="20.1796875" customWidth="1"/>
    <col min="4" max="4" width="23.1796875" customWidth="1"/>
    <col min="5" max="8" width="24.453125" customWidth="1"/>
    <col min="9" max="9" width="14" customWidth="1"/>
  </cols>
  <sheetData>
    <row r="2" spans="1:9" ht="15.5" x14ac:dyDescent="0.35">
      <c r="A2" s="9" t="s">
        <v>28</v>
      </c>
      <c r="B2" s="8"/>
      <c r="C2" s="8"/>
      <c r="D2" s="8"/>
      <c r="E2" s="8"/>
      <c r="F2" s="8"/>
      <c r="G2" s="8"/>
      <c r="H2" s="8"/>
      <c r="I2" s="8"/>
    </row>
    <row r="3" spans="1:9" ht="42" x14ac:dyDescent="0.35">
      <c r="A3" s="10"/>
      <c r="B3" s="11" t="s">
        <v>8</v>
      </c>
      <c r="C3" s="11" t="s">
        <v>9</v>
      </c>
      <c r="D3" s="11" t="s">
        <v>10</v>
      </c>
      <c r="E3" s="11" t="s">
        <v>11</v>
      </c>
      <c r="F3" s="11" t="s">
        <v>36</v>
      </c>
      <c r="G3" s="11" t="s">
        <v>35</v>
      </c>
      <c r="H3" s="11" t="s">
        <v>37</v>
      </c>
      <c r="I3" s="2" t="s">
        <v>12</v>
      </c>
    </row>
    <row r="4" spans="1:9" x14ac:dyDescent="0.35">
      <c r="A4" s="12" t="s">
        <v>19</v>
      </c>
      <c r="B4" s="13">
        <v>12.1</v>
      </c>
      <c r="C4" s="13">
        <v>12</v>
      </c>
      <c r="D4" s="13">
        <v>14.207000000000001</v>
      </c>
      <c r="E4" s="13">
        <v>3.19</v>
      </c>
      <c r="F4" s="13">
        <v>6.658739595719382</v>
      </c>
      <c r="G4" s="13">
        <v>3.7</v>
      </c>
      <c r="H4" s="13">
        <v>6.78</v>
      </c>
      <c r="I4" s="3">
        <f>B4*$B$10+C4*$C$10+D4*$D$10+E4*$E$10+F4*$F$10+G4*$G$10+H4*$H$10</f>
        <v>7.7896725673694895</v>
      </c>
    </row>
    <row r="5" spans="1:9" x14ac:dyDescent="0.35">
      <c r="A5" s="12" t="s">
        <v>20</v>
      </c>
      <c r="B5" s="13">
        <v>34.78</v>
      </c>
      <c r="C5" s="13">
        <v>36.299999999999997</v>
      </c>
      <c r="D5" s="13">
        <v>14.647600000000001</v>
      </c>
      <c r="E5" s="13">
        <v>6.98</v>
      </c>
      <c r="F5" s="13">
        <v>19.500594530321045</v>
      </c>
      <c r="G5" s="13">
        <v>11.8</v>
      </c>
      <c r="H5" s="13">
        <v>16.95</v>
      </c>
      <c r="I5" s="3">
        <f t="shared" ref="I5:I8" si="0">B5*$B$10+C5*$C$10+D5*$D$10+E5*$E$10+F5*$F$10+G5*$G$10+H5*$H$10</f>
        <v>19.58038795805615</v>
      </c>
    </row>
    <row r="6" spans="1:9" x14ac:dyDescent="0.35">
      <c r="A6" s="12" t="s">
        <v>18</v>
      </c>
      <c r="B6" s="13">
        <v>40.75</v>
      </c>
      <c r="C6" s="13">
        <v>37.5</v>
      </c>
      <c r="D6" s="13">
        <v>51.652000000000001</v>
      </c>
      <c r="E6" s="13">
        <v>80.95</v>
      </c>
      <c r="F6" s="13">
        <v>54.458977407847797</v>
      </c>
      <c r="G6" s="13">
        <v>58.5</v>
      </c>
      <c r="H6" s="13">
        <v>51.69</v>
      </c>
      <c r="I6" s="3">
        <f t="shared" si="0"/>
        <v>56.749744728830763</v>
      </c>
    </row>
    <row r="7" spans="1:9" x14ac:dyDescent="0.35">
      <c r="A7" s="12" t="s">
        <v>68</v>
      </c>
      <c r="B7" s="13">
        <v>9.2899999999999991</v>
      </c>
      <c r="C7" s="13">
        <v>10.4</v>
      </c>
      <c r="D7" s="13">
        <v>10.6828</v>
      </c>
      <c r="E7" s="13">
        <v>6.29</v>
      </c>
      <c r="F7" s="13">
        <v>10.939357907253269</v>
      </c>
      <c r="G7" s="13">
        <v>15.7</v>
      </c>
      <c r="H7" s="13">
        <v>16.95</v>
      </c>
      <c r="I7" s="3">
        <f t="shared" si="0"/>
        <v>10.28794141391363</v>
      </c>
    </row>
    <row r="8" spans="1:9" x14ac:dyDescent="0.35">
      <c r="A8" s="12" t="s">
        <v>69</v>
      </c>
      <c r="B8" s="13">
        <v>3.09</v>
      </c>
      <c r="C8" s="13">
        <v>3.8</v>
      </c>
      <c r="D8" s="13">
        <v>8.8106000000000009</v>
      </c>
      <c r="E8" s="13">
        <v>2.58</v>
      </c>
      <c r="F8" s="13">
        <v>8.4423305588585009</v>
      </c>
      <c r="G8" s="13">
        <v>10.199999999999999</v>
      </c>
      <c r="H8" s="13">
        <v>7.63</v>
      </c>
      <c r="I8" s="3">
        <f t="shared" si="0"/>
        <v>5.572504769421581</v>
      </c>
    </row>
    <row r="9" spans="1:9" x14ac:dyDescent="0.35">
      <c r="A9" s="14" t="s">
        <v>6</v>
      </c>
      <c r="B9" s="8">
        <v>1964</v>
      </c>
      <c r="C9" s="8">
        <v>1030</v>
      </c>
      <c r="D9" s="8">
        <v>908</v>
      </c>
      <c r="E9" s="13">
        <v>2289</v>
      </c>
      <c r="F9" s="13">
        <v>841</v>
      </c>
      <c r="G9" s="13">
        <v>1719</v>
      </c>
      <c r="H9" s="13">
        <v>118</v>
      </c>
      <c r="I9" s="3">
        <f>SUM(B9:H9)</f>
        <v>8869</v>
      </c>
    </row>
    <row r="10" spans="1:9" x14ac:dyDescent="0.35">
      <c r="A10" s="14" t="s">
        <v>7</v>
      </c>
      <c r="B10" s="15">
        <f>B9/SUM($B$9:$H$9)</f>
        <v>0.22144548427105648</v>
      </c>
      <c r="C10" s="15">
        <f t="shared" ref="C10:H10" si="1">C9/SUM($B$9:$H$9)</f>
        <v>0.11613485173074754</v>
      </c>
      <c r="D10" s="15">
        <f t="shared" si="1"/>
        <v>0.10237907317623182</v>
      </c>
      <c r="E10" s="15">
        <f t="shared" si="1"/>
        <v>0.25808997632202052</v>
      </c>
      <c r="F10" s="15">
        <f t="shared" si="1"/>
        <v>9.482467019957154E-2</v>
      </c>
      <c r="G10" s="15">
        <f t="shared" si="1"/>
        <v>0.1938211748787913</v>
      </c>
      <c r="H10" s="15">
        <f t="shared" si="1"/>
        <v>1.3304769421580787E-2</v>
      </c>
      <c r="I10" s="3">
        <f>SUM(B10:H10)</f>
        <v>1.0000000000000002</v>
      </c>
    </row>
    <row r="11" spans="1:9" x14ac:dyDescent="0.35">
      <c r="A11" s="12"/>
      <c r="B11" s="8"/>
      <c r="C11" s="8"/>
      <c r="D11" s="8"/>
      <c r="E11" s="8"/>
      <c r="F11" s="8"/>
      <c r="G11" s="8"/>
      <c r="H11" s="8"/>
      <c r="I11" s="5"/>
    </row>
    <row r="12" spans="1:9" x14ac:dyDescent="0.35">
      <c r="A12" s="17" t="s">
        <v>22</v>
      </c>
      <c r="B12" s="25">
        <f>((-7.5*B4-2.5*B5+0*B6+2.5*B7+7.5*B8)/100)</f>
        <v>-1.3130000000000002</v>
      </c>
      <c r="C12" s="26">
        <f t="shared" ref="C12:H12" si="2">((-7.5*C4-2.5*C5+0*C6+2.5*C7+7.5*C8)/100)</f>
        <v>-1.2625</v>
      </c>
      <c r="D12" s="26">
        <f t="shared" si="2"/>
        <v>-0.50385000000000002</v>
      </c>
      <c r="E12" s="26">
        <f t="shared" si="2"/>
        <v>-6.2999999999999973E-2</v>
      </c>
      <c r="F12" s="26">
        <f t="shared" si="2"/>
        <v>-8.0261593341260568E-2</v>
      </c>
      <c r="G12" s="26">
        <f t="shared" si="2"/>
        <v>0.58499999999999996</v>
      </c>
      <c r="H12" s="26">
        <f t="shared" si="2"/>
        <v>6.375000000000007E-2</v>
      </c>
      <c r="I12" s="7">
        <f>B12*B10+C12*C10+D12*D10+E12*E10+F10*F12+G10*G12+H10*H12</f>
        <v>-0.39859874844965604</v>
      </c>
    </row>
    <row r="13" spans="1:9" x14ac:dyDescent="0.35">
      <c r="A13" s="8"/>
      <c r="B13" s="8"/>
      <c r="C13" s="8"/>
      <c r="D13" s="8"/>
      <c r="E13" s="8"/>
      <c r="F13" s="8"/>
      <c r="G13" s="8"/>
      <c r="H13" s="8"/>
      <c r="I13" s="8"/>
    </row>
    <row r="14" spans="1:9" x14ac:dyDescent="0.35">
      <c r="A14" s="16" t="s">
        <v>64</v>
      </c>
      <c r="B14" s="8"/>
      <c r="C14" s="8"/>
      <c r="D14" s="8"/>
      <c r="E14" s="8"/>
      <c r="F14" s="8"/>
      <c r="G14" s="8"/>
      <c r="H14" s="8"/>
      <c r="I14" s="8"/>
    </row>
    <row r="15" spans="1:9" x14ac:dyDescent="0.35">
      <c r="A15" s="27" t="s">
        <v>40</v>
      </c>
      <c r="B15" s="28"/>
      <c r="C15" s="28"/>
      <c r="D15" s="28"/>
      <c r="E15" s="28"/>
      <c r="F15" s="28"/>
      <c r="G15" s="28"/>
      <c r="H15" s="28"/>
      <c r="I15" s="28"/>
    </row>
    <row r="16" spans="1:9" x14ac:dyDescent="0.35">
      <c r="A16" s="28"/>
      <c r="B16" s="28"/>
      <c r="C16" s="28"/>
      <c r="D16" s="28"/>
      <c r="E16" s="28"/>
      <c r="F16" s="28"/>
      <c r="G16" s="28"/>
      <c r="H16" s="28"/>
      <c r="I16" s="28"/>
    </row>
    <row r="17" spans="1:9" x14ac:dyDescent="0.35">
      <c r="A17" s="37" t="s">
        <v>32</v>
      </c>
      <c r="B17" s="28"/>
      <c r="C17" s="28"/>
      <c r="D17" s="28"/>
      <c r="E17" s="28"/>
      <c r="F17" s="28"/>
      <c r="G17" s="28"/>
      <c r="H17" s="28"/>
      <c r="I17" s="28"/>
    </row>
    <row r="18" spans="1:9" x14ac:dyDescent="0.35">
      <c r="A18" s="28"/>
      <c r="B18" s="28"/>
      <c r="C18" s="28"/>
      <c r="D18" s="28"/>
      <c r="E18" s="28"/>
      <c r="F18" s="28"/>
      <c r="G18" s="28"/>
      <c r="H18" s="28"/>
      <c r="I18" s="28"/>
    </row>
    <row r="19" spans="1:9" x14ac:dyDescent="0.35">
      <c r="A19" s="28"/>
      <c r="B19" s="28"/>
      <c r="C19" s="28"/>
      <c r="D19" s="28"/>
      <c r="E19" s="28"/>
      <c r="F19" s="28"/>
      <c r="G19" s="28"/>
      <c r="H19" s="28"/>
      <c r="I19" s="28"/>
    </row>
    <row r="20" spans="1:9" x14ac:dyDescent="0.35">
      <c r="A20" s="28"/>
      <c r="B20" s="28"/>
      <c r="C20" s="28"/>
      <c r="D20" s="28"/>
      <c r="E20" s="28"/>
      <c r="F20" s="28"/>
      <c r="G20" s="28"/>
      <c r="H20" s="28"/>
      <c r="I20" s="28"/>
    </row>
    <row r="21" spans="1:9" x14ac:dyDescent="0.35">
      <c r="A21" s="36" t="s">
        <v>47</v>
      </c>
      <c r="B21" s="28"/>
      <c r="C21" s="28"/>
      <c r="D21" s="28"/>
      <c r="E21" s="28"/>
      <c r="F21" s="28"/>
      <c r="G21" s="28"/>
      <c r="H21" s="28"/>
      <c r="I21" s="28"/>
    </row>
    <row r="22" spans="1:9" ht="15.5" x14ac:dyDescent="0.35">
      <c r="A22" s="9" t="s">
        <v>28</v>
      </c>
      <c r="B22" s="8"/>
      <c r="C22" s="8"/>
      <c r="D22" s="8"/>
      <c r="E22" s="8"/>
      <c r="F22" s="8"/>
      <c r="G22" s="28"/>
      <c r="H22" s="28"/>
      <c r="I22" s="28"/>
    </row>
    <row r="23" spans="1:9" ht="42" x14ac:dyDescent="0.35">
      <c r="A23" s="10"/>
      <c r="B23" s="11" t="s">
        <v>8</v>
      </c>
      <c r="C23" s="11" t="s">
        <v>9</v>
      </c>
      <c r="D23" s="11" t="s">
        <v>10</v>
      </c>
      <c r="E23" s="11" t="s">
        <v>11</v>
      </c>
      <c r="F23" s="2" t="s">
        <v>12</v>
      </c>
      <c r="G23" s="28"/>
      <c r="H23" s="28"/>
      <c r="I23" s="28"/>
    </row>
    <row r="24" spans="1:9" x14ac:dyDescent="0.35">
      <c r="A24" s="12" t="s">
        <v>19</v>
      </c>
      <c r="B24" s="13">
        <v>13.66</v>
      </c>
      <c r="C24" s="13">
        <v>12.1</v>
      </c>
      <c r="D24" s="13">
        <v>5.3155999999999999</v>
      </c>
      <c r="E24" s="13">
        <v>3.19</v>
      </c>
      <c r="F24" s="3">
        <f>B24*$B$30+C24*$C$30+D24*$D$30+E24*$E$30</f>
        <v>8.4550955722070835</v>
      </c>
      <c r="G24" s="28"/>
      <c r="H24" s="28"/>
      <c r="I24" s="28"/>
    </row>
    <row r="25" spans="1:9" x14ac:dyDescent="0.35">
      <c r="A25" s="12" t="s">
        <v>20</v>
      </c>
      <c r="B25" s="13">
        <v>27.14</v>
      </c>
      <c r="C25" s="13">
        <v>31.1</v>
      </c>
      <c r="D25" s="13">
        <v>11.2957</v>
      </c>
      <c r="E25" s="13">
        <v>6.98</v>
      </c>
      <c r="F25" s="3">
        <f t="shared" ref="F25:F28" si="3">B25*$B$30+C25*$C$30+D25*$D$30+E25*$E$30</f>
        <v>18.337399761580382</v>
      </c>
      <c r="G25" s="28"/>
      <c r="H25" s="28"/>
      <c r="I25" s="28"/>
    </row>
    <row r="26" spans="1:9" x14ac:dyDescent="0.35">
      <c r="A26" s="12" t="s">
        <v>18</v>
      </c>
      <c r="B26" s="13">
        <v>50.69</v>
      </c>
      <c r="C26" s="13">
        <v>41.9</v>
      </c>
      <c r="D26" s="13">
        <v>66.9435</v>
      </c>
      <c r="E26" s="13">
        <v>80.95</v>
      </c>
      <c r="F26" s="3">
        <f t="shared" si="3"/>
        <v>62.641743358310627</v>
      </c>
      <c r="G26" s="28"/>
      <c r="H26" s="28"/>
      <c r="I26" s="28"/>
    </row>
    <row r="27" spans="1:9" x14ac:dyDescent="0.35">
      <c r="A27" s="12" t="s">
        <v>68</v>
      </c>
      <c r="B27" s="13">
        <v>5.95</v>
      </c>
      <c r="C27" s="13">
        <v>12.4</v>
      </c>
      <c r="D27" s="13">
        <v>10.132899999999999</v>
      </c>
      <c r="E27" s="13">
        <v>6.29</v>
      </c>
      <c r="F27" s="3">
        <f t="shared" si="3"/>
        <v>7.6196893392370564</v>
      </c>
      <c r="G27" s="28"/>
      <c r="H27" s="28"/>
      <c r="I27" s="28"/>
    </row>
    <row r="28" spans="1:9" x14ac:dyDescent="0.35">
      <c r="A28" s="12" t="s">
        <v>69</v>
      </c>
      <c r="B28" s="13">
        <v>2.56</v>
      </c>
      <c r="C28" s="13">
        <v>2.5</v>
      </c>
      <c r="D28" s="13">
        <v>6.3122999999999996</v>
      </c>
      <c r="E28" s="13">
        <v>2.58</v>
      </c>
      <c r="F28" s="3">
        <f t="shared" si="3"/>
        <v>2.9421738079019075</v>
      </c>
      <c r="G28" s="28"/>
      <c r="H28" s="28"/>
      <c r="I28" s="28"/>
    </row>
    <row r="29" spans="1:9" x14ac:dyDescent="0.35">
      <c r="A29" s="14" t="s">
        <v>6</v>
      </c>
      <c r="B29" s="8">
        <v>1972</v>
      </c>
      <c r="C29" s="8">
        <v>1009</v>
      </c>
      <c r="D29" s="8">
        <v>602</v>
      </c>
      <c r="E29" s="13">
        <v>2289</v>
      </c>
      <c r="F29" s="3">
        <f>SUM(B29:E29)</f>
        <v>5872</v>
      </c>
      <c r="G29" s="28"/>
      <c r="H29" s="28"/>
      <c r="I29" s="28"/>
    </row>
    <row r="30" spans="1:9" x14ac:dyDescent="0.35">
      <c r="A30" s="14" t="s">
        <v>7</v>
      </c>
      <c r="B30" s="15">
        <f>B29/SUM($B$29:$E$29)</f>
        <v>0.33583106267029972</v>
      </c>
      <c r="C30" s="15">
        <f t="shared" ref="C30:E30" si="4">C29/SUM($B$29:$E$29)</f>
        <v>0.17183242506811988</v>
      </c>
      <c r="D30" s="15">
        <f t="shared" si="4"/>
        <v>0.10252043596730245</v>
      </c>
      <c r="E30" s="15">
        <f t="shared" si="4"/>
        <v>0.38981607629427795</v>
      </c>
      <c r="F30" s="3">
        <f>SUM(B30:E30)</f>
        <v>1</v>
      </c>
      <c r="G30" s="28"/>
      <c r="H30" s="28"/>
      <c r="I30" s="28"/>
    </row>
    <row r="31" spans="1:9" x14ac:dyDescent="0.35">
      <c r="A31" s="12"/>
      <c r="B31" s="8"/>
      <c r="C31" s="8"/>
      <c r="D31" s="8"/>
      <c r="E31" s="8"/>
      <c r="F31" s="5"/>
      <c r="G31" s="28"/>
      <c r="H31" s="28"/>
      <c r="I31" s="28"/>
    </row>
    <row r="32" spans="1:9" x14ac:dyDescent="0.35">
      <c r="A32" s="17" t="s">
        <v>22</v>
      </c>
      <c r="B32" s="25">
        <f>((-7.5*B24-2.5*B25+0*B26+2.5*B27+7.5*B28)/100)</f>
        <v>-1.3622500000000002</v>
      </c>
      <c r="C32" s="26">
        <f>((-7.5*C24-2.5*C25+0*C26+2.5*C27+7.5*C28)/100)</f>
        <v>-1.1875</v>
      </c>
      <c r="D32" s="26">
        <f>((-7.5*D24-2.5*D25+0*D26+2.5*D27+7.5*D28)/100)</f>
        <v>4.5682500000000133E-2</v>
      </c>
      <c r="E32" s="26">
        <f>((-7.5*E24-2.5*E25+0*E26+2.5*E27+7.5*E28)/100)</f>
        <v>-6.2999999999999973E-2</v>
      </c>
      <c r="F32" s="7">
        <f>B32*B30+C32*C30+D32*D30+E32*E30</f>
        <v>-0.68141189288147141</v>
      </c>
      <c r="G32" s="28"/>
      <c r="H32" s="28"/>
      <c r="I32" s="28"/>
    </row>
    <row r="33" spans="1:9" x14ac:dyDescent="0.35">
      <c r="A33" s="8"/>
      <c r="B33" s="8"/>
      <c r="C33" s="8"/>
      <c r="D33" s="8"/>
      <c r="E33" s="8"/>
      <c r="F33" s="8"/>
      <c r="G33" s="28"/>
      <c r="H33" s="28"/>
      <c r="I33" s="28"/>
    </row>
    <row r="34" spans="1:9" x14ac:dyDescent="0.35">
      <c r="A34" s="16" t="s">
        <v>51</v>
      </c>
      <c r="B34" s="8"/>
      <c r="C34" s="8"/>
      <c r="D34" s="8"/>
      <c r="E34" s="8"/>
      <c r="F34" s="8"/>
      <c r="G34" s="28"/>
      <c r="H34" s="28"/>
      <c r="I34" s="28"/>
    </row>
  </sheetData>
  <hyperlinks>
    <hyperlink ref="A17" location="Contents!A1" display="Table of Contents" xr:uid="{E43E0634-2F2A-44C6-91A8-03DE8B5B285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4F337-3594-4E06-B3F4-B51128F6ED78}">
  <sheetPr>
    <tabColor rgb="FF00B050"/>
  </sheetPr>
  <dimension ref="A1:I34"/>
  <sheetViews>
    <sheetView workbookViewId="0">
      <selection activeCell="A29" sqref="A29"/>
    </sheetView>
  </sheetViews>
  <sheetFormatPr defaultRowHeight="14.5" x14ac:dyDescent="0.35"/>
  <cols>
    <col min="1" max="1" width="54.453125" customWidth="1"/>
    <col min="2" max="2" width="16" customWidth="1"/>
    <col min="3" max="3" width="20.1796875" customWidth="1"/>
    <col min="4" max="4" width="19" customWidth="1"/>
    <col min="5" max="6" width="18.1796875" customWidth="1"/>
    <col min="7" max="7" width="20.54296875" customWidth="1"/>
    <col min="8" max="8" width="18.1796875" customWidth="1"/>
    <col min="9" max="9" width="13.81640625" customWidth="1"/>
  </cols>
  <sheetData>
    <row r="1" spans="1:9" x14ac:dyDescent="0.35">
      <c r="A1" s="28"/>
      <c r="B1" s="28"/>
      <c r="C1" s="28"/>
      <c r="D1" s="28"/>
      <c r="E1" s="28"/>
      <c r="F1" s="28"/>
      <c r="G1" s="28"/>
      <c r="H1" s="28"/>
      <c r="I1" s="28"/>
    </row>
    <row r="2" spans="1:9" ht="15.5" x14ac:dyDescent="0.35">
      <c r="A2" s="9" t="s">
        <v>29</v>
      </c>
      <c r="B2" s="8"/>
      <c r="C2" s="8"/>
      <c r="D2" s="8"/>
      <c r="E2" s="8"/>
      <c r="F2" s="8"/>
      <c r="G2" s="8"/>
      <c r="H2" s="8"/>
      <c r="I2" s="8"/>
    </row>
    <row r="3" spans="1:9" ht="56" x14ac:dyDescent="0.35">
      <c r="A3" s="10"/>
      <c r="B3" s="11" t="s">
        <v>8</v>
      </c>
      <c r="C3" s="11" t="s">
        <v>9</v>
      </c>
      <c r="D3" s="11" t="s">
        <v>10</v>
      </c>
      <c r="E3" s="11" t="s">
        <v>11</v>
      </c>
      <c r="F3" s="11" t="s">
        <v>36</v>
      </c>
      <c r="G3" s="11" t="s">
        <v>35</v>
      </c>
      <c r="H3" s="11" t="s">
        <v>37</v>
      </c>
      <c r="I3" s="2" t="s">
        <v>12</v>
      </c>
    </row>
    <row r="4" spans="1:9" x14ac:dyDescent="0.35">
      <c r="A4" s="8" t="s">
        <v>23</v>
      </c>
      <c r="B4" s="19">
        <v>0.13</v>
      </c>
      <c r="C4" s="13">
        <v>0</v>
      </c>
      <c r="D4" s="13">
        <v>1.2115</v>
      </c>
      <c r="E4" s="13">
        <v>0.37</v>
      </c>
      <c r="F4" s="13">
        <v>0.58027079303675044</v>
      </c>
      <c r="G4" s="13">
        <v>0.3</v>
      </c>
      <c r="H4" s="13">
        <v>2.61</v>
      </c>
      <c r="I4" s="3">
        <f>B4*$B$10+C4*$C$10+D4*$D$10+E4*$E$10+F4*$F$10+G4*$G$10+H4*$H$10</f>
        <v>0.39157169945484704</v>
      </c>
    </row>
    <row r="5" spans="1:9" x14ac:dyDescent="0.35">
      <c r="A5" s="8" t="s">
        <v>24</v>
      </c>
      <c r="B5" s="20">
        <v>0.56999999999999995</v>
      </c>
      <c r="C5" s="13">
        <v>1.4</v>
      </c>
      <c r="D5" s="13">
        <v>2.5329999999999999</v>
      </c>
      <c r="E5" s="13">
        <v>0.43</v>
      </c>
      <c r="F5" s="13">
        <v>1.7408123791102514</v>
      </c>
      <c r="G5" s="13">
        <v>1.5</v>
      </c>
      <c r="H5" s="13">
        <v>3.48</v>
      </c>
      <c r="I5" s="3">
        <f t="shared" ref="I5:I8" si="0">B5*$B$10+C5*$C$10+D5*$D$10+E5*$E$10+F5*$F$10+G5*$G$10+H5*$H$10</f>
        <v>1.1395679070869873</v>
      </c>
    </row>
    <row r="6" spans="1:9" x14ac:dyDescent="0.35">
      <c r="A6" s="8" t="s">
        <v>18</v>
      </c>
      <c r="B6" s="20">
        <v>82.24</v>
      </c>
      <c r="C6" s="13">
        <v>82.8</v>
      </c>
      <c r="D6" s="13">
        <v>81.607900000000001</v>
      </c>
      <c r="E6" s="13">
        <v>91.34</v>
      </c>
      <c r="F6" s="13">
        <v>85.493230174081233</v>
      </c>
      <c r="G6" s="13">
        <v>74.8</v>
      </c>
      <c r="H6" s="13">
        <v>84.35</v>
      </c>
      <c r="I6" s="3">
        <f t="shared" si="0"/>
        <v>83.3759567670064</v>
      </c>
    </row>
    <row r="7" spans="1:9" x14ac:dyDescent="0.35">
      <c r="A7" s="8" t="s">
        <v>70</v>
      </c>
      <c r="B7" s="20">
        <v>14.4</v>
      </c>
      <c r="C7" s="13">
        <v>13.5</v>
      </c>
      <c r="D7" s="13">
        <v>9.4713999999999992</v>
      </c>
      <c r="E7" s="13">
        <v>6.12</v>
      </c>
      <c r="F7" s="13">
        <v>9.2843326885880071</v>
      </c>
      <c r="G7" s="13">
        <v>19.600000000000001</v>
      </c>
      <c r="H7" s="13">
        <v>7.83</v>
      </c>
      <c r="I7" s="3">
        <f t="shared" si="0"/>
        <v>12.214340033183218</v>
      </c>
    </row>
    <row r="8" spans="1:9" x14ac:dyDescent="0.35">
      <c r="A8" s="8" t="s">
        <v>71</v>
      </c>
      <c r="B8" s="20">
        <v>2.66</v>
      </c>
      <c r="C8" s="13">
        <v>2.2999999999999998</v>
      </c>
      <c r="D8" s="13">
        <v>5.1761999999999997</v>
      </c>
      <c r="E8" s="13">
        <v>1.73</v>
      </c>
      <c r="F8" s="13">
        <v>2.9013539651837523</v>
      </c>
      <c r="G8" s="13">
        <v>3.9</v>
      </c>
      <c r="H8" s="13">
        <v>1.74</v>
      </c>
      <c r="I8" s="3">
        <f t="shared" si="0"/>
        <v>2.8964043138184405</v>
      </c>
    </row>
    <row r="9" spans="1:9" x14ac:dyDescent="0.35">
      <c r="A9" s="21" t="s">
        <v>6</v>
      </c>
      <c r="B9" s="22">
        <v>1964</v>
      </c>
      <c r="C9" s="8">
        <v>964</v>
      </c>
      <c r="D9" s="8">
        <v>908</v>
      </c>
      <c r="E9" s="13">
        <v>2251</v>
      </c>
      <c r="F9" s="13">
        <v>517</v>
      </c>
      <c r="G9" s="13">
        <v>1719</v>
      </c>
      <c r="H9" s="13">
        <v>115</v>
      </c>
      <c r="I9" s="3">
        <f>SUM(B9:H9)</f>
        <v>8438</v>
      </c>
    </row>
    <row r="10" spans="1:9" x14ac:dyDescent="0.35">
      <c r="A10" s="21" t="s">
        <v>7</v>
      </c>
      <c r="B10" s="23">
        <f>B9/SUM($B$9:$H$9)</f>
        <v>0.23275657738800665</v>
      </c>
      <c r="C10" s="15">
        <f t="shared" ref="C10:H10" si="1">C9/SUM($B$9:$H$9)</f>
        <v>0.11424508177293198</v>
      </c>
      <c r="D10" s="15">
        <f t="shared" si="1"/>
        <v>0.1076084380184878</v>
      </c>
      <c r="E10" s="15">
        <f t="shared" si="1"/>
        <v>0.26676937662953304</v>
      </c>
      <c r="F10" s="15">
        <f t="shared" si="1"/>
        <v>6.1270443232993597E-2</v>
      </c>
      <c r="G10" s="15">
        <f t="shared" si="1"/>
        <v>0.20372126096231336</v>
      </c>
      <c r="H10" s="15">
        <f t="shared" si="1"/>
        <v>1.3628821995733587E-2</v>
      </c>
      <c r="I10" s="3">
        <f>SUM(B10:H10)</f>
        <v>0.99999999999999989</v>
      </c>
    </row>
    <row r="11" spans="1:9" x14ac:dyDescent="0.35">
      <c r="A11" s="8"/>
      <c r="B11" s="22"/>
      <c r="C11" s="8"/>
      <c r="D11" s="8"/>
      <c r="E11" s="8"/>
      <c r="F11" s="8"/>
      <c r="G11" s="8"/>
      <c r="H11" s="8"/>
      <c r="I11" s="5"/>
    </row>
    <row r="12" spans="1:9" x14ac:dyDescent="0.35">
      <c r="A12" s="24" t="s">
        <v>21</v>
      </c>
      <c r="B12" s="25">
        <f>((-7.5*B4-2.5*B5+0*B6+2.5*B7+7.5*B8)/100)</f>
        <v>0.53550000000000009</v>
      </c>
      <c r="C12" s="26">
        <f t="shared" ref="C12:H12" si="2">((-7.5*C4-2.5*C5+0*C6+2.5*C7+7.5*C8)/100)</f>
        <v>0.47499999999999998</v>
      </c>
      <c r="D12" s="26">
        <f t="shared" si="2"/>
        <v>0.47081249999999997</v>
      </c>
      <c r="E12" s="26">
        <f t="shared" si="2"/>
        <v>0.24424999999999999</v>
      </c>
      <c r="F12" s="26">
        <f t="shared" si="2"/>
        <v>0.36266924564796904</v>
      </c>
      <c r="G12" s="26">
        <f t="shared" si="2"/>
        <v>0.72250000000000003</v>
      </c>
      <c r="H12" s="26">
        <f t="shared" si="2"/>
        <v>4.3500000000000011E-2</v>
      </c>
      <c r="I12" s="7">
        <f>B12*B10+C12*C10+D12*D10+E12*E10+F10*F12+G10*G12+H10*H12</f>
        <v>0.46473174922967531</v>
      </c>
    </row>
    <row r="13" spans="1:9" x14ac:dyDescent="0.35">
      <c r="A13" s="8"/>
      <c r="B13" s="8"/>
      <c r="C13" s="8"/>
      <c r="D13" s="8"/>
      <c r="E13" s="8"/>
      <c r="F13" s="8"/>
      <c r="G13" s="8"/>
      <c r="H13" s="8"/>
      <c r="I13" s="8"/>
    </row>
    <row r="14" spans="1:9" x14ac:dyDescent="0.35">
      <c r="A14" s="16" t="s">
        <v>65</v>
      </c>
      <c r="B14" s="8"/>
      <c r="C14" s="8"/>
      <c r="D14" s="8"/>
      <c r="E14" s="8"/>
      <c r="F14" s="8"/>
      <c r="G14" s="8"/>
      <c r="H14" s="8"/>
      <c r="I14" s="8"/>
    </row>
    <row r="15" spans="1:9" x14ac:dyDescent="0.35">
      <c r="A15" s="35" t="s">
        <v>43</v>
      </c>
      <c r="B15" s="28"/>
      <c r="C15" s="28"/>
      <c r="D15" s="28"/>
      <c r="E15" s="28"/>
      <c r="F15" s="28"/>
      <c r="G15" s="28"/>
      <c r="H15" s="28"/>
      <c r="I15" s="28"/>
    </row>
    <row r="16" spans="1:9" x14ac:dyDescent="0.35">
      <c r="A16" s="28"/>
      <c r="B16" s="28"/>
      <c r="C16" s="28"/>
      <c r="D16" s="28"/>
      <c r="E16" s="28"/>
      <c r="F16" s="28"/>
      <c r="G16" s="28"/>
      <c r="H16" s="28"/>
      <c r="I16" s="28"/>
    </row>
    <row r="17" spans="1:9" x14ac:dyDescent="0.35">
      <c r="A17" s="37" t="s">
        <v>32</v>
      </c>
      <c r="B17" s="28"/>
      <c r="C17" s="28"/>
      <c r="D17" s="28"/>
      <c r="E17" s="28"/>
      <c r="F17" s="28"/>
      <c r="G17" s="28"/>
      <c r="H17" s="28"/>
      <c r="I17" s="28"/>
    </row>
    <row r="18" spans="1:9" x14ac:dyDescent="0.35">
      <c r="A18" s="28"/>
      <c r="B18" s="28"/>
      <c r="C18" s="28"/>
      <c r="D18" s="28"/>
      <c r="E18" s="28"/>
      <c r="F18" s="28"/>
      <c r="G18" s="28"/>
      <c r="H18" s="28"/>
      <c r="I18" s="28"/>
    </row>
    <row r="19" spans="1:9" x14ac:dyDescent="0.35">
      <c r="A19" s="28"/>
      <c r="B19" s="28"/>
      <c r="C19" s="28"/>
      <c r="D19" s="28"/>
      <c r="E19" s="28"/>
      <c r="F19" s="28"/>
      <c r="G19" s="28"/>
      <c r="H19" s="28"/>
      <c r="I19" s="28"/>
    </row>
    <row r="20" spans="1:9" x14ac:dyDescent="0.35">
      <c r="A20" s="28"/>
      <c r="B20" s="28"/>
      <c r="C20" s="28"/>
      <c r="D20" s="28"/>
      <c r="E20" s="28"/>
      <c r="F20" s="28"/>
      <c r="G20" s="28"/>
      <c r="H20" s="28"/>
      <c r="I20" s="28"/>
    </row>
    <row r="21" spans="1:9" x14ac:dyDescent="0.35">
      <c r="A21" s="36" t="s">
        <v>47</v>
      </c>
      <c r="B21" s="28"/>
      <c r="C21" s="28"/>
      <c r="D21" s="28"/>
      <c r="E21" s="28"/>
      <c r="F21" s="28"/>
      <c r="G21" s="28"/>
      <c r="H21" s="28"/>
      <c r="I21" s="28"/>
    </row>
    <row r="22" spans="1:9" ht="15.5" x14ac:dyDescent="0.35">
      <c r="A22" s="9" t="s">
        <v>29</v>
      </c>
      <c r="B22" s="8"/>
      <c r="C22" s="8"/>
      <c r="D22" s="8"/>
      <c r="E22" s="8"/>
      <c r="F22" s="8"/>
      <c r="G22" s="28"/>
      <c r="H22" s="28"/>
      <c r="I22" s="28"/>
    </row>
    <row r="23" spans="1:9" ht="56" x14ac:dyDescent="0.35">
      <c r="A23" s="10"/>
      <c r="B23" s="11" t="s">
        <v>8</v>
      </c>
      <c r="C23" s="11" t="s">
        <v>9</v>
      </c>
      <c r="D23" s="11" t="s">
        <v>10</v>
      </c>
      <c r="E23" s="11" t="s">
        <v>11</v>
      </c>
      <c r="F23" s="2" t="s">
        <v>12</v>
      </c>
      <c r="G23" s="28"/>
      <c r="H23" s="28"/>
      <c r="I23" s="28"/>
    </row>
    <row r="24" spans="1:9" x14ac:dyDescent="0.35">
      <c r="A24" s="8" t="s">
        <v>23</v>
      </c>
      <c r="B24" s="19">
        <v>0.16</v>
      </c>
      <c r="C24" s="13">
        <v>0</v>
      </c>
      <c r="D24" s="13">
        <v>0.3322</v>
      </c>
      <c r="E24" s="13">
        <v>0.37</v>
      </c>
      <c r="F24" s="3">
        <f>B24*$B$30+C24*$C$30+D24*$D$30+E24*$E$30</f>
        <v>0.23195843798382934</v>
      </c>
      <c r="G24" s="28"/>
      <c r="H24" s="28"/>
      <c r="I24" s="28"/>
    </row>
    <row r="25" spans="1:9" x14ac:dyDescent="0.35">
      <c r="A25" s="8" t="s">
        <v>24</v>
      </c>
      <c r="B25" s="20">
        <v>0.71</v>
      </c>
      <c r="C25" s="13">
        <v>0.5</v>
      </c>
      <c r="D25" s="13">
        <v>3.1560999999999999</v>
      </c>
      <c r="E25" s="13">
        <v>0.43</v>
      </c>
      <c r="F25" s="3">
        <f t="shared" ref="F25:F28" si="3">B25*$B$30+C25*$C$30+D25*$D$30+E25*$E$30</f>
        <v>0.81920216755547903</v>
      </c>
      <c r="G25" s="28"/>
      <c r="H25" s="28"/>
      <c r="I25" s="28"/>
    </row>
    <row r="26" spans="1:9" x14ac:dyDescent="0.35">
      <c r="A26" s="8" t="s">
        <v>18</v>
      </c>
      <c r="B26" s="20">
        <v>89.32</v>
      </c>
      <c r="C26" s="13">
        <v>91.4</v>
      </c>
      <c r="D26" s="13">
        <v>79.235900000000001</v>
      </c>
      <c r="E26" s="13">
        <v>91.34</v>
      </c>
      <c r="F26" s="3">
        <f t="shared" si="3"/>
        <v>89.411421262687085</v>
      </c>
      <c r="G26" s="28"/>
      <c r="H26" s="28"/>
      <c r="I26" s="28"/>
    </row>
    <row r="27" spans="1:9" x14ac:dyDescent="0.35">
      <c r="A27" s="8" t="s">
        <v>70</v>
      </c>
      <c r="B27" s="20">
        <v>8.2799999999999994</v>
      </c>
      <c r="C27" s="13">
        <v>7</v>
      </c>
      <c r="D27" s="13">
        <v>13.9535</v>
      </c>
      <c r="E27" s="13">
        <v>6.12</v>
      </c>
      <c r="F27" s="3">
        <f t="shared" si="3"/>
        <v>7.8135707896094955</v>
      </c>
      <c r="G27" s="28"/>
      <c r="H27" s="28"/>
      <c r="I27" s="28"/>
    </row>
    <row r="28" spans="1:9" x14ac:dyDescent="0.35">
      <c r="A28" s="8" t="s">
        <v>71</v>
      </c>
      <c r="B28" s="20">
        <v>1.53</v>
      </c>
      <c r="C28" s="13">
        <v>1</v>
      </c>
      <c r="D28" s="13">
        <v>3.3222999999999998</v>
      </c>
      <c r="E28" s="13">
        <v>1.73</v>
      </c>
      <c r="F28" s="3">
        <f t="shared" si="3"/>
        <v>1.7029785996903493</v>
      </c>
      <c r="G28" s="28"/>
      <c r="H28" s="28"/>
      <c r="I28" s="28"/>
    </row>
    <row r="29" spans="1:9" x14ac:dyDescent="0.35">
      <c r="A29" s="21" t="s">
        <v>6</v>
      </c>
      <c r="B29" s="22">
        <v>1972</v>
      </c>
      <c r="C29" s="8">
        <v>988</v>
      </c>
      <c r="D29" s="8">
        <v>602</v>
      </c>
      <c r="E29" s="13">
        <v>2251</v>
      </c>
      <c r="F29" s="3">
        <f>SUM(B29:E29)</f>
        <v>5813</v>
      </c>
      <c r="G29" s="28"/>
      <c r="H29" s="28"/>
      <c r="I29" s="28"/>
    </row>
    <row r="30" spans="1:9" x14ac:dyDescent="0.35">
      <c r="A30" s="21" t="s">
        <v>7</v>
      </c>
      <c r="B30" s="23">
        <f>B29/SUM($B$29:$E$29)</f>
        <v>0.33923963530018925</v>
      </c>
      <c r="C30" s="15">
        <f t="shared" ref="C30:E30" si="4">C29/SUM($B$29:$E$29)</f>
        <v>0.16996387407534835</v>
      </c>
      <c r="D30" s="15">
        <f t="shared" si="4"/>
        <v>0.10356098400137623</v>
      </c>
      <c r="E30" s="15">
        <f t="shared" si="4"/>
        <v>0.3872355066230862</v>
      </c>
      <c r="F30" s="3">
        <f>SUM(B30:E30)</f>
        <v>1</v>
      </c>
      <c r="G30" s="28"/>
      <c r="H30" s="28"/>
      <c r="I30" s="28"/>
    </row>
    <row r="31" spans="1:9" x14ac:dyDescent="0.35">
      <c r="A31" s="8"/>
      <c r="B31" s="22"/>
      <c r="C31" s="8"/>
      <c r="D31" s="8"/>
      <c r="E31" s="8"/>
      <c r="F31" s="5"/>
      <c r="G31" s="28"/>
      <c r="H31" s="28"/>
      <c r="I31" s="28"/>
    </row>
    <row r="32" spans="1:9" x14ac:dyDescent="0.35">
      <c r="A32" s="24" t="s">
        <v>21</v>
      </c>
      <c r="B32" s="25">
        <f>((-7.5*B24-2.5*B25+0*B26+2.5*B27+7.5*B28)/100)</f>
        <v>0.29200000000000004</v>
      </c>
      <c r="C32" s="26">
        <f>((-7.5*C24-2.5*C25+0*C26+2.5*C27+7.5*C28)/100)</f>
        <v>0.23749999999999999</v>
      </c>
      <c r="D32" s="26">
        <f>((-7.5*D24-2.5*D25+0*D26+2.5*D27+7.5*D28)/100)</f>
        <v>0.49419249999999998</v>
      </c>
      <c r="E32" s="26">
        <f>((-7.5*E24-2.5*E25+0*E26+2.5*E27+7.5*E28)/100)</f>
        <v>0.24424999999999999</v>
      </c>
      <c r="F32" s="7">
        <f>B32*B30+C32*C30+D32*D30+E32*E30</f>
        <v>0.28518572767933942</v>
      </c>
      <c r="G32" s="28"/>
      <c r="H32" s="28"/>
      <c r="I32" s="28"/>
    </row>
    <row r="33" spans="1:9" x14ac:dyDescent="0.35">
      <c r="A33" s="8"/>
      <c r="B33" s="8"/>
      <c r="C33" s="8"/>
      <c r="D33" s="8"/>
      <c r="E33" s="8"/>
      <c r="F33" s="8"/>
      <c r="G33" s="28"/>
      <c r="H33" s="28"/>
      <c r="I33" s="28"/>
    </row>
    <row r="34" spans="1:9" x14ac:dyDescent="0.35">
      <c r="A34" s="16" t="s">
        <v>52</v>
      </c>
      <c r="B34" s="8"/>
      <c r="C34" s="8"/>
      <c r="D34" s="8"/>
      <c r="E34" s="8"/>
      <c r="F34" s="8"/>
      <c r="G34" s="28"/>
      <c r="H34" s="28"/>
      <c r="I34" s="28"/>
    </row>
  </sheetData>
  <hyperlinks>
    <hyperlink ref="A17" location="Contents!A1" display="Table of Contents" xr:uid="{31C06987-1E21-4F5F-BE6D-58B71801792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26DB-CE5F-48D4-AE10-FE83A6C7D2C3}">
  <sheetPr>
    <tabColor rgb="FF00B050"/>
  </sheetPr>
  <dimension ref="A2:I34"/>
  <sheetViews>
    <sheetView topLeftCell="A3" workbookViewId="0">
      <selection activeCell="A29" sqref="A29"/>
    </sheetView>
  </sheetViews>
  <sheetFormatPr defaultRowHeight="14.5" x14ac:dyDescent="0.35"/>
  <cols>
    <col min="1" max="1" width="56" customWidth="1"/>
    <col min="2" max="2" width="17" customWidth="1"/>
    <col min="3" max="3" width="14.54296875" customWidth="1"/>
    <col min="4" max="4" width="19.1796875" customWidth="1"/>
    <col min="5" max="8" width="21.453125" customWidth="1"/>
    <col min="9" max="9" width="14" customWidth="1"/>
  </cols>
  <sheetData>
    <row r="2" spans="1:9" ht="15.5" x14ac:dyDescent="0.35">
      <c r="A2" s="9" t="s">
        <v>30</v>
      </c>
      <c r="B2" s="8"/>
      <c r="C2" s="8"/>
      <c r="D2" s="8"/>
      <c r="E2" s="8"/>
      <c r="F2" s="8"/>
      <c r="G2" s="8"/>
      <c r="H2" s="8"/>
      <c r="I2" s="8"/>
    </row>
    <row r="3" spans="1:9" ht="56" x14ac:dyDescent="0.35">
      <c r="A3" s="10"/>
      <c r="B3" s="11" t="s">
        <v>8</v>
      </c>
      <c r="C3" s="11" t="s">
        <v>9</v>
      </c>
      <c r="D3" s="11" t="s">
        <v>10</v>
      </c>
      <c r="E3" s="11" t="s">
        <v>11</v>
      </c>
      <c r="F3" s="11" t="s">
        <v>36</v>
      </c>
      <c r="G3" s="11" t="s">
        <v>35</v>
      </c>
      <c r="H3" s="11" t="s">
        <v>37</v>
      </c>
      <c r="I3" s="2" t="s">
        <v>12</v>
      </c>
    </row>
    <row r="4" spans="1:9" x14ac:dyDescent="0.35">
      <c r="A4" s="12" t="s">
        <v>23</v>
      </c>
      <c r="B4" s="13">
        <v>0.68</v>
      </c>
      <c r="C4" s="13">
        <v>2</v>
      </c>
      <c r="D4" s="13">
        <v>3.7444999999999999</v>
      </c>
      <c r="E4" s="13">
        <v>0.92</v>
      </c>
      <c r="F4" s="13">
        <v>1.8450184501845019</v>
      </c>
      <c r="G4" s="13">
        <v>0.4</v>
      </c>
      <c r="H4" s="13">
        <v>5.93</v>
      </c>
      <c r="I4" s="3">
        <f>B4*$B$10+C4*$C$10+D4*$D$10+E4*$E$10+F4*$F$10+G4*$G$10+H4*$H$10</f>
        <v>1.3158200280112045</v>
      </c>
    </row>
    <row r="5" spans="1:9" x14ac:dyDescent="0.35">
      <c r="A5" s="12" t="s">
        <v>24</v>
      </c>
      <c r="B5" s="13">
        <v>2.38</v>
      </c>
      <c r="C5" s="13">
        <v>3.1</v>
      </c>
      <c r="D5" s="13">
        <v>5.1761999999999997</v>
      </c>
      <c r="E5" s="13">
        <v>1.22</v>
      </c>
      <c r="F5" s="13">
        <v>2.0295202952029521</v>
      </c>
      <c r="G5" s="13">
        <v>1.8</v>
      </c>
      <c r="H5" s="13">
        <v>5.93</v>
      </c>
      <c r="I5" s="3">
        <f t="shared" ref="I5:I8" si="0">B5*$B$10+C5*$C$10+D5*$D$10+E5*$E$10+F5*$F$10+G5*$G$10+H5*$H$10</f>
        <v>2.360974509803921</v>
      </c>
    </row>
    <row r="6" spans="1:9" x14ac:dyDescent="0.35">
      <c r="A6" s="12" t="s">
        <v>18</v>
      </c>
      <c r="B6" s="13">
        <v>35.17</v>
      </c>
      <c r="C6" s="13">
        <v>35.5</v>
      </c>
      <c r="D6" s="13">
        <v>65.638800000000003</v>
      </c>
      <c r="E6" s="13">
        <v>72.44</v>
      </c>
      <c r="F6" s="13">
        <v>49.630996309963102</v>
      </c>
      <c r="G6" s="13">
        <v>53.9</v>
      </c>
      <c r="H6" s="13">
        <v>55.08</v>
      </c>
      <c r="I6" s="3">
        <f t="shared" si="0"/>
        <v>53.38538870214753</v>
      </c>
    </row>
    <row r="7" spans="1:9" x14ac:dyDescent="0.35">
      <c r="A7" s="12" t="s">
        <v>70</v>
      </c>
      <c r="B7" s="13">
        <v>38.049999999999997</v>
      </c>
      <c r="C7" s="13">
        <v>37.9</v>
      </c>
      <c r="D7" s="13">
        <v>15.308400000000001</v>
      </c>
      <c r="E7" s="13">
        <v>18.7</v>
      </c>
      <c r="F7" s="13">
        <v>25.461254612546124</v>
      </c>
      <c r="G7" s="13">
        <v>27.6</v>
      </c>
      <c r="H7" s="13">
        <v>25.42</v>
      </c>
      <c r="I7" s="3">
        <f t="shared" si="0"/>
        <v>27.363175443510737</v>
      </c>
    </row>
    <row r="8" spans="1:9" x14ac:dyDescent="0.35">
      <c r="A8" s="12" t="s">
        <v>71</v>
      </c>
      <c r="B8" s="13">
        <v>23.71</v>
      </c>
      <c r="C8" s="13">
        <v>21.5</v>
      </c>
      <c r="D8" s="13">
        <v>10.132199999999999</v>
      </c>
      <c r="E8" s="13">
        <v>6.73</v>
      </c>
      <c r="F8" s="13">
        <v>21.033210332103319</v>
      </c>
      <c r="G8" s="13">
        <v>16.399999999999999</v>
      </c>
      <c r="H8" s="13">
        <v>7.63</v>
      </c>
      <c r="I8" s="3">
        <f t="shared" si="0"/>
        <v>15.594968207282914</v>
      </c>
    </row>
    <row r="9" spans="1:9" x14ac:dyDescent="0.35">
      <c r="A9" s="14" t="s">
        <v>6</v>
      </c>
      <c r="B9" s="8">
        <v>1964</v>
      </c>
      <c r="C9" s="8">
        <v>1018</v>
      </c>
      <c r="D9" s="8">
        <v>908</v>
      </c>
      <c r="E9" s="13">
        <v>2299</v>
      </c>
      <c r="F9" s="13">
        <v>542</v>
      </c>
      <c r="G9" s="13">
        <v>1719</v>
      </c>
      <c r="H9" s="13">
        <v>118</v>
      </c>
      <c r="I9" s="3">
        <f>SUM(B9:H9)</f>
        <v>8568</v>
      </c>
    </row>
    <row r="10" spans="1:9" x14ac:dyDescent="0.35">
      <c r="A10" s="14" t="s">
        <v>7</v>
      </c>
      <c r="B10" s="15">
        <f>B9/SUM($B$9:$H$9)</f>
        <v>0.22922502334267039</v>
      </c>
      <c r="C10" s="15">
        <f t="shared" ref="C10:H10" si="1">C9/SUM($B$9:$H$9)</f>
        <v>0.1188141923436041</v>
      </c>
      <c r="D10" s="15">
        <f t="shared" si="1"/>
        <v>0.10597572362278244</v>
      </c>
      <c r="E10" s="15">
        <f t="shared" si="1"/>
        <v>0.26832399626517273</v>
      </c>
      <c r="F10" s="15">
        <f t="shared" si="1"/>
        <v>6.325863678804855E-2</v>
      </c>
      <c r="G10" s="15">
        <f t="shared" si="1"/>
        <v>0.20063025210084034</v>
      </c>
      <c r="H10" s="15">
        <f t="shared" si="1"/>
        <v>1.3772175536881419E-2</v>
      </c>
      <c r="I10" s="3">
        <f>SUM(B10:H10)</f>
        <v>1</v>
      </c>
    </row>
    <row r="11" spans="1:9" x14ac:dyDescent="0.35">
      <c r="A11" s="12"/>
      <c r="B11" s="8"/>
      <c r="C11" s="8"/>
      <c r="D11" s="8"/>
      <c r="E11" s="8"/>
      <c r="F11" s="8"/>
      <c r="G11" s="8"/>
      <c r="H11" s="8"/>
      <c r="I11" s="5"/>
    </row>
    <row r="12" spans="1:9" x14ac:dyDescent="0.35">
      <c r="A12" s="17" t="s">
        <v>22</v>
      </c>
      <c r="B12" s="26">
        <f>((-7.5*B4-2.5*B5+0*B6+2.5*B7+7.5*B8)/100)</f>
        <v>2.6190000000000002</v>
      </c>
      <c r="C12" s="26">
        <f t="shared" ref="C12:H12" si="2">((-7.5*C4-2.5*C5+0*C6+2.5*C7+7.5*C8)/100)</f>
        <v>2.3325</v>
      </c>
      <c r="D12" s="26">
        <f t="shared" si="2"/>
        <v>0.73238249999999994</v>
      </c>
      <c r="E12" s="26">
        <f t="shared" si="2"/>
        <v>0.87275000000000003</v>
      </c>
      <c r="F12" s="26">
        <f t="shared" si="2"/>
        <v>2.0249077490774909</v>
      </c>
      <c r="G12" s="26">
        <f t="shared" si="2"/>
        <v>1.845</v>
      </c>
      <c r="H12" s="26">
        <f t="shared" si="2"/>
        <v>0.61475000000000013</v>
      </c>
      <c r="I12" s="7">
        <f>B12*B10+C12*C10+D12*D10+E12*E10+F10*F12+G10*G12+H10*H12</f>
        <v>1.6959911367880487</v>
      </c>
    </row>
    <row r="13" spans="1:9" x14ac:dyDescent="0.35">
      <c r="A13" s="8"/>
      <c r="B13" s="8"/>
      <c r="C13" s="8"/>
      <c r="D13" s="8"/>
      <c r="E13" s="8"/>
      <c r="F13" s="8"/>
      <c r="G13" s="8"/>
      <c r="H13" s="8"/>
      <c r="I13" s="8"/>
    </row>
    <row r="14" spans="1:9" x14ac:dyDescent="0.35">
      <c r="A14" s="16" t="s">
        <v>66</v>
      </c>
      <c r="B14" s="8"/>
      <c r="C14" s="8"/>
      <c r="D14" s="8"/>
      <c r="E14" s="8"/>
      <c r="F14" s="8"/>
      <c r="G14" s="8"/>
      <c r="H14" s="8"/>
      <c r="I14" s="8"/>
    </row>
    <row r="15" spans="1:9" x14ac:dyDescent="0.35">
      <c r="A15" s="35" t="s">
        <v>43</v>
      </c>
      <c r="B15" s="28"/>
      <c r="C15" s="28"/>
      <c r="D15" s="28"/>
      <c r="E15" s="28"/>
      <c r="F15" s="28"/>
      <c r="G15" s="28"/>
      <c r="H15" s="28"/>
      <c r="I15" s="28"/>
    </row>
    <row r="16" spans="1:9" x14ac:dyDescent="0.35">
      <c r="A16" s="28"/>
      <c r="B16" s="28"/>
      <c r="C16" s="28"/>
      <c r="D16" s="28"/>
      <c r="E16" s="28"/>
      <c r="F16" s="28"/>
      <c r="G16" s="28"/>
      <c r="H16" s="28"/>
      <c r="I16" s="28"/>
    </row>
    <row r="17" spans="1:9" x14ac:dyDescent="0.35">
      <c r="A17" s="37" t="s">
        <v>32</v>
      </c>
      <c r="B17" s="28"/>
      <c r="C17" s="28"/>
      <c r="D17" s="28"/>
      <c r="E17" s="28"/>
      <c r="F17" s="28"/>
      <c r="G17" s="28"/>
      <c r="H17" s="28"/>
      <c r="I17" s="28"/>
    </row>
    <row r="18" spans="1:9" x14ac:dyDescent="0.35">
      <c r="A18" s="28"/>
      <c r="B18" s="28"/>
      <c r="C18" s="28"/>
      <c r="D18" s="28"/>
      <c r="E18" s="28"/>
      <c r="F18" s="28"/>
      <c r="G18" s="28"/>
      <c r="H18" s="28"/>
      <c r="I18" s="28"/>
    </row>
    <row r="19" spans="1:9" x14ac:dyDescent="0.35">
      <c r="A19" s="28"/>
      <c r="B19" s="28"/>
      <c r="C19" s="28"/>
      <c r="D19" s="28"/>
      <c r="E19" s="28"/>
      <c r="F19" s="28"/>
      <c r="G19" s="28"/>
      <c r="H19" s="28"/>
      <c r="I19" s="28"/>
    </row>
    <row r="20" spans="1:9" x14ac:dyDescent="0.35">
      <c r="A20" s="28"/>
      <c r="B20" s="28"/>
      <c r="C20" s="28"/>
      <c r="D20" s="28"/>
      <c r="E20" s="28"/>
      <c r="F20" s="28"/>
      <c r="G20" s="28"/>
      <c r="H20" s="28"/>
      <c r="I20" s="28"/>
    </row>
    <row r="21" spans="1:9" x14ac:dyDescent="0.35">
      <c r="A21" s="36" t="s">
        <v>47</v>
      </c>
      <c r="B21" s="28"/>
      <c r="C21" s="28"/>
      <c r="D21" s="28"/>
      <c r="E21" s="28"/>
      <c r="F21" s="28"/>
      <c r="G21" s="28"/>
      <c r="H21" s="28"/>
      <c r="I21" s="28"/>
    </row>
    <row r="22" spans="1:9" ht="15.5" x14ac:dyDescent="0.35">
      <c r="A22" s="9" t="s">
        <v>30</v>
      </c>
      <c r="B22" s="8"/>
      <c r="C22" s="8"/>
      <c r="D22" s="8"/>
      <c r="E22" s="8"/>
      <c r="F22" s="8"/>
      <c r="G22" s="28"/>
      <c r="H22" s="28"/>
      <c r="I22" s="28"/>
    </row>
    <row r="23" spans="1:9" ht="42" x14ac:dyDescent="0.35">
      <c r="A23" s="10"/>
      <c r="B23" s="11" t="s">
        <v>8</v>
      </c>
      <c r="C23" s="11" t="s">
        <v>9</v>
      </c>
      <c r="D23" s="11" t="s">
        <v>10</v>
      </c>
      <c r="E23" s="11" t="s">
        <v>11</v>
      </c>
      <c r="F23" s="2" t="s">
        <v>12</v>
      </c>
      <c r="G23" s="28"/>
      <c r="H23" s="28"/>
      <c r="I23" s="28"/>
    </row>
    <row r="24" spans="1:9" x14ac:dyDescent="0.35">
      <c r="A24" s="12" t="s">
        <v>23</v>
      </c>
      <c r="B24" s="13">
        <v>0.82</v>
      </c>
      <c r="C24" s="13">
        <v>1</v>
      </c>
      <c r="D24" s="13">
        <v>2.3256000000000001</v>
      </c>
      <c r="E24" s="13">
        <v>0.92</v>
      </c>
      <c r="F24" s="3">
        <f>B24*$B$30+C24*$C$30+D24*$D$30+E24*$E$30</f>
        <v>1.0440849268458661</v>
      </c>
      <c r="G24" s="28"/>
      <c r="H24" s="28"/>
      <c r="I24" s="28"/>
    </row>
    <row r="25" spans="1:9" x14ac:dyDescent="0.35">
      <c r="A25" s="12" t="s">
        <v>24</v>
      </c>
      <c r="B25" s="13">
        <v>1.25</v>
      </c>
      <c r="C25" s="13">
        <v>0.9</v>
      </c>
      <c r="D25" s="13">
        <v>4.3189000000000002</v>
      </c>
      <c r="E25" s="13">
        <v>1.22</v>
      </c>
      <c r="F25" s="3">
        <f t="shared" ref="F25:F28" si="3">B25*$B$30+C25*$C$30+D25*$D$30+E25*$E$30</f>
        <v>1.4927284450493365</v>
      </c>
      <c r="G25" s="28"/>
      <c r="H25" s="28"/>
      <c r="I25" s="28"/>
    </row>
    <row r="26" spans="1:9" x14ac:dyDescent="0.35">
      <c r="A26" s="12" t="s">
        <v>18</v>
      </c>
      <c r="B26" s="13">
        <v>53.24</v>
      </c>
      <c r="C26" s="13">
        <v>38.700000000000003</v>
      </c>
      <c r="D26" s="13">
        <v>67.608000000000004</v>
      </c>
      <c r="E26" s="13">
        <v>72.44</v>
      </c>
      <c r="F26" s="3">
        <f t="shared" si="3"/>
        <v>59.735004423273224</v>
      </c>
      <c r="G26" s="28"/>
      <c r="H26" s="28"/>
      <c r="I26" s="28"/>
    </row>
    <row r="27" spans="1:9" x14ac:dyDescent="0.35">
      <c r="A27" s="12" t="s">
        <v>70</v>
      </c>
      <c r="B27" s="13">
        <v>28.01</v>
      </c>
      <c r="C27" s="13">
        <v>42.4</v>
      </c>
      <c r="D27" s="13">
        <v>14.617900000000001</v>
      </c>
      <c r="E27" s="13">
        <v>18.7</v>
      </c>
      <c r="F27" s="3">
        <f t="shared" si="3"/>
        <v>25.457467812181012</v>
      </c>
      <c r="G27" s="28"/>
      <c r="H27" s="28"/>
      <c r="I27" s="28"/>
    </row>
    <row r="28" spans="1:9" x14ac:dyDescent="0.35">
      <c r="A28" s="12" t="s">
        <v>71</v>
      </c>
      <c r="B28" s="13">
        <v>16.68</v>
      </c>
      <c r="C28" s="13">
        <v>17.100000000000001</v>
      </c>
      <c r="D28" s="13">
        <v>11.1296</v>
      </c>
      <c r="E28" s="13">
        <v>6.73</v>
      </c>
      <c r="F28" s="3">
        <f t="shared" si="3"/>
        <v>12.291723239197006</v>
      </c>
      <c r="G28" s="28"/>
      <c r="H28" s="28"/>
      <c r="I28" s="28"/>
    </row>
    <row r="29" spans="1:9" x14ac:dyDescent="0.35">
      <c r="A29" s="14" t="s">
        <v>6</v>
      </c>
      <c r="B29" s="8">
        <v>1972</v>
      </c>
      <c r="C29" s="8">
        <v>1005</v>
      </c>
      <c r="D29" s="8">
        <v>602</v>
      </c>
      <c r="E29" s="13">
        <v>2299</v>
      </c>
      <c r="F29" s="3">
        <f>SUM(B29:E29)</f>
        <v>5878</v>
      </c>
      <c r="G29" s="28"/>
      <c r="H29" s="28"/>
      <c r="I29" s="28"/>
    </row>
    <row r="30" spans="1:9" x14ac:dyDescent="0.35">
      <c r="A30" s="14" t="s">
        <v>7</v>
      </c>
      <c r="B30" s="15">
        <f>B29/SUM($B$29:$E$29)</f>
        <v>0.33548826131337189</v>
      </c>
      <c r="C30" s="15">
        <f t="shared" ref="C30:E30" si="4">C29/SUM($B$29:$E$29)</f>
        <v>0.17097652262674379</v>
      </c>
      <c r="D30" s="15">
        <f t="shared" si="4"/>
        <v>0.10241578768288534</v>
      </c>
      <c r="E30" s="15">
        <f t="shared" si="4"/>
        <v>0.39111942837699898</v>
      </c>
      <c r="F30" s="3">
        <f>SUM(B30:E30)</f>
        <v>1</v>
      </c>
      <c r="G30" s="28"/>
      <c r="H30" s="28"/>
      <c r="I30" s="28"/>
    </row>
    <row r="31" spans="1:9" x14ac:dyDescent="0.35">
      <c r="A31" s="12"/>
      <c r="B31" s="8"/>
      <c r="C31" s="8"/>
      <c r="D31" s="8"/>
      <c r="E31" s="8"/>
      <c r="F31" s="5"/>
      <c r="G31" s="28"/>
      <c r="H31" s="28"/>
      <c r="I31" s="28"/>
    </row>
    <row r="32" spans="1:9" x14ac:dyDescent="0.35">
      <c r="A32" s="17" t="s">
        <v>22</v>
      </c>
      <c r="B32" s="26">
        <f>((-7.5*B24-2.5*B25+0*B26+2.5*B27+7.5*B28)/100)</f>
        <v>1.8585</v>
      </c>
      <c r="C32" s="26">
        <f>((-7.5*C24-2.5*C25+0*C26+2.5*C27+7.5*C28)/100)</f>
        <v>2.2450000000000001</v>
      </c>
      <c r="D32" s="26">
        <f>((-7.5*D24-2.5*D25+0*D26+2.5*D27+7.5*D28)/100)</f>
        <v>0.91777500000000001</v>
      </c>
      <c r="E32" s="26">
        <f>((-7.5*E24-2.5*E25+0*E26+2.5*E27+7.5*E28)/100)</f>
        <v>0.87275000000000003</v>
      </c>
      <c r="F32" s="7">
        <f>B32*B30+C32*C30+D32*D30+E32*E30</f>
        <v>1.4426913576046274</v>
      </c>
      <c r="G32" s="28"/>
      <c r="H32" s="28"/>
      <c r="I32" s="28"/>
    </row>
    <row r="33" spans="1:9" x14ac:dyDescent="0.35">
      <c r="A33" s="8"/>
      <c r="B33" s="8"/>
      <c r="C33" s="8"/>
      <c r="D33" s="8"/>
      <c r="E33" s="8"/>
      <c r="F33" s="8"/>
      <c r="G33" s="28"/>
      <c r="H33" s="28"/>
      <c r="I33" s="28"/>
    </row>
    <row r="34" spans="1:9" x14ac:dyDescent="0.35">
      <c r="A34" s="16" t="s">
        <v>53</v>
      </c>
      <c r="B34" s="8"/>
      <c r="C34" s="8"/>
      <c r="D34" s="8"/>
      <c r="E34" s="8"/>
      <c r="F34" s="8"/>
      <c r="G34" s="28"/>
      <c r="H34" s="28"/>
      <c r="I34" s="28"/>
    </row>
  </sheetData>
  <hyperlinks>
    <hyperlink ref="A17" location="Contents!A1" display="Table of Contents" xr:uid="{26A9105A-FE05-412E-A9B8-7C28E864D79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26D4-C6F7-4A6C-B6E0-769BC28686B1}">
  <sheetPr>
    <tabColor rgb="FF00B050"/>
  </sheetPr>
  <dimension ref="A2:I37"/>
  <sheetViews>
    <sheetView workbookViewId="0">
      <selection activeCell="A30" sqref="A30"/>
    </sheetView>
  </sheetViews>
  <sheetFormatPr defaultRowHeight="14.5" x14ac:dyDescent="0.35"/>
  <cols>
    <col min="1" max="1" width="39.54296875" customWidth="1"/>
    <col min="2" max="2" width="17.1796875" customWidth="1"/>
    <col min="3" max="3" width="19.7265625" customWidth="1"/>
    <col min="4" max="4" width="23.26953125" customWidth="1"/>
    <col min="5" max="8" width="25.26953125" customWidth="1"/>
    <col min="9" max="9" width="17.26953125" customWidth="1"/>
  </cols>
  <sheetData>
    <row r="2" spans="1:9" ht="15.5" x14ac:dyDescent="0.35">
      <c r="A2" s="9" t="s">
        <v>31</v>
      </c>
      <c r="B2" s="8"/>
      <c r="C2" s="8"/>
      <c r="D2" s="8"/>
      <c r="E2" s="8"/>
      <c r="F2" s="8"/>
      <c r="G2" s="8"/>
      <c r="H2" s="8"/>
      <c r="I2" s="8"/>
    </row>
    <row r="3" spans="1:9" ht="42" x14ac:dyDescent="0.35">
      <c r="A3" s="10"/>
      <c r="B3" s="11" t="s">
        <v>8</v>
      </c>
      <c r="C3" s="11" t="s">
        <v>9</v>
      </c>
      <c r="D3" s="11" t="s">
        <v>10</v>
      </c>
      <c r="E3" s="11" t="s">
        <v>11</v>
      </c>
      <c r="F3" s="11" t="s">
        <v>36</v>
      </c>
      <c r="G3" s="11" t="s">
        <v>35</v>
      </c>
      <c r="H3" s="11" t="s">
        <v>37</v>
      </c>
      <c r="I3" s="2" t="s">
        <v>12</v>
      </c>
    </row>
    <row r="4" spans="1:9" x14ac:dyDescent="0.35">
      <c r="A4" s="12" t="s">
        <v>5</v>
      </c>
      <c r="B4" s="13">
        <v>91.024140000000003</v>
      </c>
      <c r="C4" s="13">
        <v>95.9</v>
      </c>
      <c r="D4" s="13">
        <v>73.017600000000002</v>
      </c>
      <c r="E4" s="13">
        <v>79.741600000000005</v>
      </c>
      <c r="F4" s="13">
        <v>83.4</v>
      </c>
      <c r="G4" s="13">
        <v>73.099999999999994</v>
      </c>
      <c r="H4" s="13">
        <v>71.290000000000006</v>
      </c>
      <c r="I4" s="3">
        <f>B4*$B$12+C4*$C$12+D4*$D$12+E4*$E$12+F4*$F$12+G4*$G$12+H4*$H$12</f>
        <v>82.242571261324045</v>
      </c>
    </row>
    <row r="5" spans="1:9" x14ac:dyDescent="0.35">
      <c r="A5" s="12" t="s">
        <v>0</v>
      </c>
      <c r="B5" s="13">
        <v>36.78454</v>
      </c>
      <c r="C5" s="13">
        <v>52.4</v>
      </c>
      <c r="D5" s="13">
        <v>21.4758</v>
      </c>
      <c r="E5" s="13">
        <v>29.56324</v>
      </c>
      <c r="F5" s="13">
        <v>22</v>
      </c>
      <c r="G5" s="13">
        <v>9.3000000000000007</v>
      </c>
      <c r="H5" s="13">
        <v>34.65</v>
      </c>
      <c r="I5" s="3">
        <f t="shared" ref="I5:I10" si="0">B5*$B$12+C5*$C$12+D5*$D$12+E5*$E$12+F5*$F$12+G5*$G$12+H5*$H$12</f>
        <v>28.001608882694544</v>
      </c>
    </row>
    <row r="6" spans="1:9" x14ac:dyDescent="0.35">
      <c r="A6" s="12" t="s">
        <v>1</v>
      </c>
      <c r="B6" s="13">
        <v>57.908709999999999</v>
      </c>
      <c r="C6" s="13">
        <v>60.1</v>
      </c>
      <c r="D6" s="13">
        <v>37.1145</v>
      </c>
      <c r="E6" s="13">
        <v>40.084240000000001</v>
      </c>
      <c r="F6" s="13">
        <v>50.6</v>
      </c>
      <c r="G6" s="13">
        <v>48</v>
      </c>
      <c r="H6" s="13">
        <v>46.53</v>
      </c>
      <c r="I6" s="3">
        <f t="shared" si="0"/>
        <v>48.649959344947739</v>
      </c>
    </row>
    <row r="7" spans="1:9" x14ac:dyDescent="0.35">
      <c r="A7" s="12" t="s">
        <v>2</v>
      </c>
      <c r="B7" s="13">
        <v>43.658050000000003</v>
      </c>
      <c r="C7" s="13">
        <v>47.7</v>
      </c>
      <c r="D7" s="13">
        <v>34.361199999999997</v>
      </c>
      <c r="E7" s="13">
        <v>31.376740000000002</v>
      </c>
      <c r="F7" s="13">
        <v>38.6</v>
      </c>
      <c r="G7" s="13">
        <v>39.700000000000003</v>
      </c>
      <c r="H7" s="13">
        <v>47.52</v>
      </c>
      <c r="I7" s="3">
        <f t="shared" si="0"/>
        <v>38.782303986062715</v>
      </c>
    </row>
    <row r="8" spans="1:9" x14ac:dyDescent="0.35">
      <c r="A8" s="12" t="s">
        <v>38</v>
      </c>
      <c r="B8" s="13">
        <v>51.943219999999997</v>
      </c>
      <c r="C8" s="13">
        <v>47.9</v>
      </c>
      <c r="D8" s="13">
        <v>34.911900000000003</v>
      </c>
      <c r="E8" s="13">
        <v>41.66872</v>
      </c>
      <c r="F8" s="13">
        <v>71.3</v>
      </c>
      <c r="G8" s="13">
        <v>32.700000000000003</v>
      </c>
      <c r="H8" s="13">
        <v>37.619999999999997</v>
      </c>
      <c r="I8" s="3">
        <f t="shared" si="0"/>
        <v>45.101744464576072</v>
      </c>
    </row>
    <row r="9" spans="1:9" x14ac:dyDescent="0.35">
      <c r="A9" s="12" t="s">
        <v>4</v>
      </c>
      <c r="B9" s="13">
        <v>40.620469999999997</v>
      </c>
      <c r="C9" s="13">
        <v>49.5</v>
      </c>
      <c r="D9" s="13">
        <v>31.828199999999999</v>
      </c>
      <c r="E9" s="13">
        <v>27.045940000000002</v>
      </c>
      <c r="F9" s="13">
        <v>25.5</v>
      </c>
      <c r="G9" s="13">
        <v>33.4</v>
      </c>
      <c r="H9" s="13">
        <v>27.72</v>
      </c>
      <c r="I9" s="3">
        <f t="shared" si="0"/>
        <v>34.119698931475028</v>
      </c>
    </row>
    <row r="10" spans="1:9" x14ac:dyDescent="0.35">
      <c r="A10" s="12" t="s">
        <v>39</v>
      </c>
      <c r="B10" s="13">
        <v>21.550689999999999</v>
      </c>
      <c r="C10" s="13">
        <v>34</v>
      </c>
      <c r="D10" s="13">
        <v>27.092500000000001</v>
      </c>
      <c r="E10" s="13">
        <v>16.291830000000001</v>
      </c>
      <c r="F10" s="13">
        <v>14.3</v>
      </c>
      <c r="G10" s="13">
        <v>26.5</v>
      </c>
      <c r="H10" s="13">
        <v>14.85</v>
      </c>
      <c r="I10" s="3">
        <f t="shared" si="0"/>
        <v>22.305940301974449</v>
      </c>
    </row>
    <row r="11" spans="1:9" x14ac:dyDescent="0.35">
      <c r="A11" s="14" t="s">
        <v>6</v>
      </c>
      <c r="B11" s="13">
        <v>1964</v>
      </c>
      <c r="C11" s="8">
        <v>902</v>
      </c>
      <c r="D11" s="8">
        <v>908</v>
      </c>
      <c r="E11" s="8">
        <v>2148</v>
      </c>
      <c r="F11" s="8">
        <v>868</v>
      </c>
      <c r="G11" s="8">
        <v>1719</v>
      </c>
      <c r="H11" s="8">
        <v>101</v>
      </c>
      <c r="I11" s="3">
        <f>SUM(B11:H11)</f>
        <v>8610</v>
      </c>
    </row>
    <row r="12" spans="1:9" x14ac:dyDescent="0.35">
      <c r="A12" s="14" t="s">
        <v>7</v>
      </c>
      <c r="B12" s="15">
        <f>B11/SUM($B$11:$H$11)</f>
        <v>0.22810685249709639</v>
      </c>
      <c r="C12" s="15">
        <f t="shared" ref="C12:H12" si="1">C11/SUM($B$11:$H$11)</f>
        <v>0.10476190476190476</v>
      </c>
      <c r="D12" s="15">
        <f t="shared" si="1"/>
        <v>0.10545876887340302</v>
      </c>
      <c r="E12" s="15">
        <f t="shared" si="1"/>
        <v>0.24947735191637629</v>
      </c>
      <c r="F12" s="15">
        <f t="shared" si="1"/>
        <v>0.1008130081300813</v>
      </c>
      <c r="G12" s="15">
        <f t="shared" si="1"/>
        <v>0.19965156794425087</v>
      </c>
      <c r="H12" s="15">
        <f t="shared" si="1"/>
        <v>1.1730545876887341E-2</v>
      </c>
      <c r="I12" s="3">
        <f>SUM(B12:H12)</f>
        <v>1</v>
      </c>
    </row>
    <row r="13" spans="1:9" x14ac:dyDescent="0.35">
      <c r="A13" s="8"/>
      <c r="B13" s="8"/>
      <c r="C13" s="8"/>
      <c r="D13" s="8"/>
      <c r="E13" s="8"/>
      <c r="F13" s="8"/>
      <c r="G13" s="8"/>
      <c r="H13" s="8"/>
      <c r="I13" s="8"/>
    </row>
    <row r="14" spans="1:9" x14ac:dyDescent="0.35">
      <c r="A14" s="16" t="s">
        <v>67</v>
      </c>
      <c r="B14" s="8"/>
      <c r="C14" s="8"/>
      <c r="D14" s="8"/>
      <c r="E14" s="8"/>
      <c r="F14" s="8"/>
      <c r="G14" s="8"/>
      <c r="H14" s="8"/>
      <c r="I14" s="8"/>
    </row>
    <row r="15" spans="1:9" x14ac:dyDescent="0.35">
      <c r="A15" s="27" t="s">
        <v>40</v>
      </c>
      <c r="B15" s="28"/>
      <c r="C15" s="28"/>
      <c r="D15" s="28"/>
      <c r="E15" s="28"/>
      <c r="F15" s="28"/>
      <c r="G15" s="28"/>
      <c r="H15" s="28"/>
      <c r="I15" s="28"/>
    </row>
    <row r="16" spans="1:9" x14ac:dyDescent="0.35">
      <c r="A16" s="28"/>
      <c r="B16" s="28"/>
      <c r="C16" s="28"/>
      <c r="D16" s="28"/>
      <c r="E16" s="28"/>
      <c r="F16" s="28"/>
      <c r="G16" s="28"/>
      <c r="H16" s="28"/>
      <c r="I16" s="28"/>
    </row>
    <row r="17" spans="1:9" x14ac:dyDescent="0.35">
      <c r="A17" s="37" t="s">
        <v>32</v>
      </c>
      <c r="B17" s="28"/>
      <c r="C17" s="28"/>
      <c r="D17" s="28"/>
      <c r="E17" s="28"/>
      <c r="F17" s="28"/>
      <c r="G17" s="28"/>
      <c r="H17" s="28"/>
      <c r="I17" s="28"/>
    </row>
    <row r="18" spans="1:9" x14ac:dyDescent="0.35">
      <c r="A18" s="37"/>
      <c r="B18" s="28"/>
      <c r="C18" s="28"/>
      <c r="D18" s="28"/>
      <c r="E18" s="28"/>
      <c r="F18" s="28"/>
      <c r="G18" s="28"/>
      <c r="H18" s="28"/>
      <c r="I18" s="28"/>
    </row>
    <row r="19" spans="1:9" x14ac:dyDescent="0.35">
      <c r="A19" s="37"/>
      <c r="B19" s="28"/>
      <c r="C19" s="28"/>
      <c r="D19" s="28"/>
      <c r="E19" s="28"/>
      <c r="F19" s="28"/>
      <c r="G19" s="28"/>
      <c r="H19" s="28"/>
      <c r="I19" s="28"/>
    </row>
    <row r="20" spans="1:9" x14ac:dyDescent="0.35">
      <c r="A20" s="28"/>
      <c r="B20" s="28"/>
      <c r="C20" s="28"/>
      <c r="D20" s="28"/>
      <c r="E20" s="28"/>
      <c r="F20" s="28"/>
      <c r="G20" s="28"/>
      <c r="H20" s="28"/>
      <c r="I20" s="28"/>
    </row>
    <row r="21" spans="1:9" x14ac:dyDescent="0.35">
      <c r="A21" s="36" t="s">
        <v>47</v>
      </c>
      <c r="B21" s="28"/>
      <c r="C21" s="28"/>
      <c r="D21" s="28"/>
      <c r="E21" s="28"/>
      <c r="F21" s="28"/>
      <c r="G21" s="28"/>
      <c r="H21" s="28"/>
      <c r="I21" s="28"/>
    </row>
    <row r="22" spans="1:9" ht="15.5" x14ac:dyDescent="0.35">
      <c r="A22" s="9" t="s">
        <v>31</v>
      </c>
      <c r="B22" s="8"/>
      <c r="C22" s="8"/>
      <c r="D22" s="8"/>
      <c r="E22" s="8"/>
      <c r="F22" s="8"/>
      <c r="G22" s="28"/>
      <c r="H22" s="28"/>
      <c r="I22" s="28"/>
    </row>
    <row r="23" spans="1:9" ht="42" x14ac:dyDescent="0.35">
      <c r="A23" s="10"/>
      <c r="B23" s="11" t="s">
        <v>8</v>
      </c>
      <c r="C23" s="11" t="s">
        <v>9</v>
      </c>
      <c r="D23" s="11" t="s">
        <v>10</v>
      </c>
      <c r="E23" s="11" t="s">
        <v>11</v>
      </c>
      <c r="F23" s="2" t="s">
        <v>12</v>
      </c>
      <c r="G23" s="28"/>
      <c r="H23" s="28"/>
      <c r="I23" s="28"/>
    </row>
    <row r="24" spans="1:9" x14ac:dyDescent="0.35">
      <c r="A24" s="12" t="s">
        <v>5</v>
      </c>
      <c r="B24" s="13">
        <v>79.150660000000002</v>
      </c>
      <c r="C24" s="39">
        <v>92.5</v>
      </c>
      <c r="D24" s="13">
        <v>64.285714285714306</v>
      </c>
      <c r="E24" s="13">
        <v>72.469030000000004</v>
      </c>
      <c r="F24" s="3">
        <f>B24*$B$33+C24*$C$33+D24*$D$33+E24*$E$33</f>
        <v>76.924261843727336</v>
      </c>
      <c r="G24" s="28"/>
      <c r="H24" s="28"/>
      <c r="I24" s="28"/>
    </row>
    <row r="25" spans="1:9" x14ac:dyDescent="0.35">
      <c r="A25" s="12" t="s">
        <v>0</v>
      </c>
      <c r="B25" s="13">
        <v>38.300060000000002</v>
      </c>
      <c r="C25" s="39">
        <v>41.5</v>
      </c>
      <c r="D25" s="13">
        <v>18.604651162790699</v>
      </c>
      <c r="E25" s="13">
        <v>31.484030000000001</v>
      </c>
      <c r="F25" s="3">
        <f t="shared" ref="F25:F31" si="2">B25*$B$33+C25*$C$33+D25*$D$33+E25*$E$33</f>
        <v>33.995059849528644</v>
      </c>
      <c r="G25" s="28"/>
      <c r="H25" s="28"/>
      <c r="I25" s="28"/>
    </row>
    <row r="26" spans="1:9" x14ac:dyDescent="0.35">
      <c r="A26" s="12" t="s">
        <v>1</v>
      </c>
      <c r="B26" s="13">
        <v>43.512689999999999</v>
      </c>
      <c r="C26" s="39">
        <v>56.4</v>
      </c>
      <c r="D26" s="13">
        <v>31.561461794019898</v>
      </c>
      <c r="E26" s="13">
        <v>36.610239999999997</v>
      </c>
      <c r="F26" s="3">
        <f t="shared" si="2"/>
        <v>41.450871131254523</v>
      </c>
      <c r="G26" s="28"/>
      <c r="H26" s="28"/>
      <c r="I26" s="28"/>
    </row>
    <row r="27" spans="1:9" x14ac:dyDescent="0.35">
      <c r="A27" s="12" t="s">
        <v>2</v>
      </c>
      <c r="B27" s="13">
        <v>35.106209999999997</v>
      </c>
      <c r="C27" s="39">
        <v>39.9</v>
      </c>
      <c r="D27" s="13">
        <v>28.405315614617901</v>
      </c>
      <c r="E27" s="13">
        <v>31.752849999999999</v>
      </c>
      <c r="F27" s="3">
        <f t="shared" si="2"/>
        <v>33.790112050398832</v>
      </c>
      <c r="G27" s="28"/>
      <c r="H27" s="28"/>
      <c r="I27" s="28"/>
    </row>
    <row r="28" spans="1:9" x14ac:dyDescent="0.35">
      <c r="A28" s="12" t="s">
        <v>3</v>
      </c>
      <c r="B28" s="13">
        <v>29.817240000000002</v>
      </c>
      <c r="C28" s="39">
        <v>34.9</v>
      </c>
      <c r="D28" s="13">
        <v>30.8970099667774</v>
      </c>
      <c r="E28" s="13">
        <v>34.338259999999998</v>
      </c>
      <c r="F28" s="3">
        <f t="shared" si="2"/>
        <v>32.429401069615665</v>
      </c>
      <c r="G28" s="28"/>
      <c r="H28" s="28"/>
      <c r="I28" s="28"/>
    </row>
    <row r="29" spans="1:9" x14ac:dyDescent="0.35">
      <c r="A29" s="12" t="s">
        <v>4</v>
      </c>
      <c r="B29" s="13">
        <v>32.420200000000001</v>
      </c>
      <c r="C29" s="39">
        <v>38.6</v>
      </c>
      <c r="D29" s="13">
        <v>24.750830564784099</v>
      </c>
      <c r="E29" s="13">
        <v>27.1935</v>
      </c>
      <c r="F29" s="3">
        <f t="shared" si="2"/>
        <v>30.480821047860772</v>
      </c>
      <c r="G29" s="28"/>
      <c r="H29" s="28"/>
      <c r="I29" s="28"/>
    </row>
    <row r="30" spans="1:9" x14ac:dyDescent="0.35">
      <c r="A30" s="12" t="s">
        <v>44</v>
      </c>
      <c r="B30" s="13">
        <v>21.335000000000001</v>
      </c>
      <c r="C30" s="39">
        <v>27.3</v>
      </c>
      <c r="D30" s="13">
        <v>23.5880398671096</v>
      </c>
      <c r="E30" s="13">
        <v>18.391169999999999</v>
      </c>
      <c r="F30" s="3">
        <f t="shared" si="2"/>
        <v>21.327073711022475</v>
      </c>
      <c r="G30" s="28"/>
      <c r="H30" s="28"/>
      <c r="I30" s="28"/>
    </row>
    <row r="31" spans="1:9" x14ac:dyDescent="0.35">
      <c r="A31" s="12" t="s">
        <v>45</v>
      </c>
      <c r="B31" s="13">
        <v>13.58206</v>
      </c>
      <c r="C31" s="39">
        <v>17.899999999999999</v>
      </c>
      <c r="D31" s="13">
        <v>20.265780730896999</v>
      </c>
      <c r="E31" s="13">
        <v>17.537890000000001</v>
      </c>
      <c r="F31" s="3">
        <f t="shared" si="2"/>
        <v>16.474875697969544</v>
      </c>
      <c r="G31" s="28"/>
      <c r="H31" s="28"/>
      <c r="I31" s="28"/>
    </row>
    <row r="32" spans="1:9" x14ac:dyDescent="0.35">
      <c r="A32" s="14" t="s">
        <v>6</v>
      </c>
      <c r="B32" s="13">
        <v>1972</v>
      </c>
      <c r="C32" s="8">
        <v>815</v>
      </c>
      <c r="D32" s="8">
        <v>602</v>
      </c>
      <c r="E32" s="8">
        <v>2127</v>
      </c>
      <c r="F32" s="3">
        <f>SUM(B32:E32)</f>
        <v>5516</v>
      </c>
      <c r="G32" s="28"/>
      <c r="H32" s="28"/>
      <c r="I32" s="28"/>
    </row>
    <row r="33" spans="1:9" x14ac:dyDescent="0.35">
      <c r="A33" s="14" t="s">
        <v>7</v>
      </c>
      <c r="B33" s="15">
        <f>B32/SUM($B$32:$E$32)</f>
        <v>0.35750543872371282</v>
      </c>
      <c r="C33" s="15">
        <f t="shared" ref="C33:E33" si="3">C32/SUM($B$32:$E$32)</f>
        <v>0.1477519941986947</v>
      </c>
      <c r="D33" s="15">
        <f t="shared" si="3"/>
        <v>0.10913705583756345</v>
      </c>
      <c r="E33" s="15">
        <f t="shared" si="3"/>
        <v>0.38560551124002901</v>
      </c>
      <c r="F33" s="3">
        <f>SUM(B33:E33)</f>
        <v>1</v>
      </c>
      <c r="G33" s="28"/>
      <c r="H33" s="28"/>
      <c r="I33" s="28"/>
    </row>
    <row r="34" spans="1:9" x14ac:dyDescent="0.35">
      <c r="A34" s="8"/>
      <c r="B34" s="8"/>
      <c r="C34" s="8"/>
      <c r="D34" s="8"/>
      <c r="E34" s="8"/>
      <c r="F34" s="8"/>
      <c r="G34" s="28"/>
      <c r="H34" s="28"/>
      <c r="I34" s="28"/>
    </row>
    <row r="35" spans="1:9" x14ac:dyDescent="0.35">
      <c r="A35" s="16" t="s">
        <v>48</v>
      </c>
      <c r="B35" s="8"/>
      <c r="C35" s="8"/>
      <c r="D35" s="8"/>
      <c r="E35" s="8"/>
      <c r="F35" s="8"/>
      <c r="G35" s="28"/>
      <c r="H35" s="28"/>
      <c r="I35" s="28"/>
    </row>
    <row r="36" spans="1:9" x14ac:dyDescent="0.35">
      <c r="A36" s="28"/>
      <c r="B36" s="28"/>
      <c r="C36" s="28"/>
      <c r="D36" s="28"/>
      <c r="E36" s="28"/>
      <c r="F36" s="28"/>
      <c r="G36" s="28"/>
      <c r="H36" s="28"/>
      <c r="I36" s="28"/>
    </row>
    <row r="37" spans="1:9" x14ac:dyDescent="0.35">
      <c r="A37" s="28"/>
      <c r="B37" s="28"/>
      <c r="C37" s="28"/>
      <c r="D37" s="28"/>
      <c r="E37" s="28"/>
      <c r="F37" s="28"/>
      <c r="G37" s="28"/>
      <c r="H37" s="28"/>
      <c r="I37" s="28"/>
    </row>
  </sheetData>
  <hyperlinks>
    <hyperlink ref="A17" location="Contents!A1" display="Table of Contents" xr:uid="{8B5C02A2-0F8A-4199-8895-95862E68D1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Contents</vt:lpstr>
      <vt:lpstr>AI Use Now</vt:lpstr>
      <vt:lpstr>AI Freq</vt:lpstr>
      <vt:lpstr>AI Emp Past 3y</vt:lpstr>
      <vt:lpstr>AI Emp Next 3y</vt:lpstr>
      <vt:lpstr>AI Prod Past 3y</vt:lpstr>
      <vt:lpstr>AI Prod Next 3y</vt:lpstr>
      <vt:lpstr>AI Use 3y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Yotzov, Ivan</dc:creator>
  <cp:lastModifiedBy>Yotzov, Ivan</cp:lastModifiedBy>
  <dcterms:created xsi:type="dcterms:W3CDTF">2026-01-30T16:28:29Z</dcterms:created>
  <dcterms:modified xsi:type="dcterms:W3CDTF">2026-10-08T05:21:32Z</dcterms:modified>
</cp:coreProperties>
</file>